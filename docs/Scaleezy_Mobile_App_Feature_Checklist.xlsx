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Project_folder\Scaleezy\CRM-B\docs\"/>
    </mc:Choice>
  </mc:AlternateContent>
  <xr:revisionPtr revIDLastSave="0" documentId="13_ncr:1_{A7BB0D23-BBFA-47B0-A393-C1F68DC93A6E}" xr6:coauthVersionLast="47" xr6:coauthVersionMax="47" xr10:uidLastSave="{00000000-0000-0000-0000-000000000000}"/>
  <bookViews>
    <workbookView xWindow="-108" yWindow="-108" windowWidth="23256" windowHeight="12456" xr2:uid="{00000000-000D-0000-FFFF-FFFF00000000}"/>
  </bookViews>
  <sheets>
    <sheet name="Read Me" sheetId="1" r:id="rId1"/>
    <sheet name="Checklist" sheetId="2" r:id="rId2"/>
    <sheet name="Summary" sheetId="3" r:id="rId3"/>
    <sheet name="API Routes" sheetId="4" r:id="rId4"/>
  </sheets>
  <definedNames>
    <definedName name="_xlnm._FilterDatabase" localSheetId="3" hidden="1">'API Routes'!$A$4:$F$338</definedName>
    <definedName name="_xlnm._FilterDatabase" localSheetId="1" hidden="1">Checklist!$A$1:$O$757</definedName>
  </definedNames>
  <calcPr calcId="181029"/>
</workbook>
</file>

<file path=xl/calcChain.xml><?xml version="1.0" encoding="utf-8"?>
<calcChain xmlns="http://schemas.openxmlformats.org/spreadsheetml/2006/main">
  <c r="G42" i="3" l="1"/>
  <c r="F42" i="3"/>
  <c r="E42" i="3"/>
  <c r="D42" i="3"/>
  <c r="C42" i="3"/>
  <c r="B42" i="3"/>
  <c r="H42" i="3" s="1"/>
  <c r="I42" i="3" s="1"/>
  <c r="G41" i="3"/>
  <c r="F41" i="3"/>
  <c r="E41" i="3"/>
  <c r="D41" i="3"/>
  <c r="C41" i="3"/>
  <c r="B41" i="3"/>
  <c r="H41" i="3" s="1"/>
  <c r="I41" i="3" s="1"/>
  <c r="G40" i="3"/>
  <c r="F40" i="3"/>
  <c r="E40" i="3"/>
  <c r="D40" i="3"/>
  <c r="C40" i="3"/>
  <c r="B40" i="3"/>
  <c r="G39" i="3"/>
  <c r="F39" i="3"/>
  <c r="E39" i="3"/>
  <c r="D39" i="3"/>
  <c r="C39" i="3"/>
  <c r="B39" i="3"/>
  <c r="H39" i="3" s="1"/>
  <c r="I39" i="3" s="1"/>
  <c r="G38" i="3"/>
  <c r="F38" i="3"/>
  <c r="E38" i="3"/>
  <c r="D38" i="3"/>
  <c r="C38" i="3"/>
  <c r="B38" i="3"/>
  <c r="G37" i="3"/>
  <c r="F37" i="3"/>
  <c r="E37" i="3"/>
  <c r="D37" i="3"/>
  <c r="C37" i="3"/>
  <c r="B37" i="3"/>
  <c r="G36" i="3"/>
  <c r="F36" i="3"/>
  <c r="E36" i="3"/>
  <c r="D36" i="3"/>
  <c r="C36" i="3"/>
  <c r="B36" i="3"/>
  <c r="H36" i="3" s="1"/>
  <c r="I36" i="3" s="1"/>
  <c r="G35" i="3"/>
  <c r="F35" i="3"/>
  <c r="E35" i="3"/>
  <c r="D35" i="3"/>
  <c r="C35" i="3"/>
  <c r="B35" i="3"/>
  <c r="H35" i="3" s="1"/>
  <c r="I35" i="3" s="1"/>
  <c r="G34" i="3"/>
  <c r="F34" i="3"/>
  <c r="E34" i="3"/>
  <c r="D34" i="3"/>
  <c r="C34" i="3"/>
  <c r="B34" i="3"/>
  <c r="H34" i="3" s="1"/>
  <c r="G33" i="3"/>
  <c r="F33" i="3"/>
  <c r="E33" i="3"/>
  <c r="D33" i="3"/>
  <c r="C33" i="3"/>
  <c r="B33" i="3"/>
  <c r="H33" i="3" s="1"/>
  <c r="I33" i="3" s="1"/>
  <c r="G32" i="3"/>
  <c r="F32" i="3"/>
  <c r="E32" i="3"/>
  <c r="D32" i="3"/>
  <c r="C32" i="3"/>
  <c r="B32" i="3"/>
  <c r="G31" i="3"/>
  <c r="F31" i="3"/>
  <c r="E31" i="3"/>
  <c r="D31" i="3"/>
  <c r="C31" i="3"/>
  <c r="B31" i="3"/>
  <c r="H31" i="3" s="1"/>
  <c r="I31" i="3" s="1"/>
  <c r="G30" i="3"/>
  <c r="F30" i="3"/>
  <c r="E30" i="3"/>
  <c r="D30" i="3"/>
  <c r="C30" i="3"/>
  <c r="B30" i="3"/>
  <c r="G29" i="3"/>
  <c r="F29" i="3"/>
  <c r="E29" i="3"/>
  <c r="D29" i="3"/>
  <c r="C29" i="3"/>
  <c r="B29" i="3"/>
  <c r="G28" i="3"/>
  <c r="F28" i="3"/>
  <c r="E28" i="3"/>
  <c r="D28" i="3"/>
  <c r="C28" i="3"/>
  <c r="B28" i="3"/>
  <c r="H28" i="3" s="1"/>
  <c r="G27" i="3"/>
  <c r="F27" i="3"/>
  <c r="E27" i="3"/>
  <c r="D27" i="3"/>
  <c r="C27" i="3"/>
  <c r="B27" i="3"/>
  <c r="H27" i="3" s="1"/>
  <c r="I27" i="3" s="1"/>
  <c r="G26" i="3"/>
  <c r="F26" i="3"/>
  <c r="E26" i="3"/>
  <c r="D26" i="3"/>
  <c r="C26" i="3"/>
  <c r="B26" i="3"/>
  <c r="H26" i="3" s="1"/>
  <c r="G25" i="3"/>
  <c r="F25" i="3"/>
  <c r="E25" i="3"/>
  <c r="D25" i="3"/>
  <c r="C25" i="3"/>
  <c r="B25" i="3"/>
  <c r="H25" i="3" s="1"/>
  <c r="I25" i="3" s="1"/>
  <c r="G24" i="3"/>
  <c r="F24" i="3"/>
  <c r="E24" i="3"/>
  <c r="D24" i="3"/>
  <c r="C24" i="3"/>
  <c r="B24" i="3"/>
  <c r="G23" i="3"/>
  <c r="F23" i="3"/>
  <c r="E23" i="3"/>
  <c r="D23" i="3"/>
  <c r="C23" i="3"/>
  <c r="B23" i="3"/>
  <c r="H23" i="3" s="1"/>
  <c r="I23" i="3" s="1"/>
  <c r="G22" i="3"/>
  <c r="F22" i="3"/>
  <c r="E22" i="3"/>
  <c r="D22" i="3"/>
  <c r="C22" i="3"/>
  <c r="B22" i="3"/>
  <c r="G21" i="3"/>
  <c r="F21" i="3"/>
  <c r="E21" i="3"/>
  <c r="D21" i="3"/>
  <c r="C21" i="3"/>
  <c r="B21" i="3"/>
  <c r="G20" i="3"/>
  <c r="F20" i="3"/>
  <c r="E20" i="3"/>
  <c r="D20" i="3"/>
  <c r="C20" i="3"/>
  <c r="B20" i="3"/>
  <c r="H20" i="3" s="1"/>
  <c r="G19" i="3"/>
  <c r="F19" i="3"/>
  <c r="E19" i="3"/>
  <c r="D19" i="3"/>
  <c r="C19" i="3"/>
  <c r="B19" i="3"/>
  <c r="H19" i="3" s="1"/>
  <c r="I19" i="3" s="1"/>
  <c r="G18" i="3"/>
  <c r="F18" i="3"/>
  <c r="E18" i="3"/>
  <c r="D18" i="3"/>
  <c r="C18" i="3"/>
  <c r="B18" i="3"/>
  <c r="H18" i="3" s="1"/>
  <c r="G17" i="3"/>
  <c r="F17" i="3"/>
  <c r="E17" i="3"/>
  <c r="D17" i="3"/>
  <c r="C17" i="3"/>
  <c r="B17" i="3"/>
  <c r="H17" i="3" s="1"/>
  <c r="I17" i="3" s="1"/>
  <c r="G16" i="3"/>
  <c r="F16" i="3"/>
  <c r="E16" i="3"/>
  <c r="D16" i="3"/>
  <c r="C16" i="3"/>
  <c r="B16" i="3"/>
  <c r="G15" i="3"/>
  <c r="F15" i="3"/>
  <c r="E15" i="3"/>
  <c r="D15" i="3"/>
  <c r="C15" i="3"/>
  <c r="B15" i="3"/>
  <c r="H15" i="3" s="1"/>
  <c r="I15" i="3" s="1"/>
  <c r="G14" i="3"/>
  <c r="F14" i="3"/>
  <c r="E14" i="3"/>
  <c r="D14" i="3"/>
  <c r="C14" i="3"/>
  <c r="B14" i="3"/>
  <c r="G13" i="3"/>
  <c r="F13" i="3"/>
  <c r="E13" i="3"/>
  <c r="D13" i="3"/>
  <c r="C13" i="3"/>
  <c r="B13" i="3"/>
  <c r="G12" i="3"/>
  <c r="F12" i="3"/>
  <c r="E12" i="3"/>
  <c r="D12" i="3"/>
  <c r="C12" i="3"/>
  <c r="B12" i="3"/>
  <c r="H12" i="3" s="1"/>
  <c r="G11" i="3"/>
  <c r="F11" i="3"/>
  <c r="E11" i="3"/>
  <c r="D11" i="3"/>
  <c r="C11" i="3"/>
  <c r="B11" i="3"/>
  <c r="H11" i="3" s="1"/>
  <c r="I11" i="3" s="1"/>
  <c r="G10" i="3"/>
  <c r="F10" i="3"/>
  <c r="E10" i="3"/>
  <c r="D10" i="3"/>
  <c r="C10" i="3"/>
  <c r="B10" i="3"/>
  <c r="G9" i="3"/>
  <c r="F9" i="3"/>
  <c r="E9" i="3"/>
  <c r="D9" i="3"/>
  <c r="C9" i="3"/>
  <c r="B9" i="3"/>
  <c r="H9" i="3" s="1"/>
  <c r="I9" i="3" s="1"/>
  <c r="G8" i="3"/>
  <c r="F8" i="3"/>
  <c r="E8" i="3"/>
  <c r="D8" i="3"/>
  <c r="C8" i="3"/>
  <c r="B8" i="3"/>
  <c r="G7" i="3"/>
  <c r="F7" i="3"/>
  <c r="E7" i="3"/>
  <c r="D7" i="3"/>
  <c r="C7" i="3"/>
  <c r="B7" i="3"/>
  <c r="H7" i="3" s="1"/>
  <c r="I7" i="3" s="1"/>
  <c r="G6" i="3"/>
  <c r="F6" i="3"/>
  <c r="E6" i="3"/>
  <c r="D6" i="3"/>
  <c r="C6" i="3"/>
  <c r="B6" i="3"/>
  <c r="G5" i="3"/>
  <c r="G43" i="3" s="1"/>
  <c r="F5" i="3"/>
  <c r="F43" i="3" s="1"/>
  <c r="E5" i="3"/>
  <c r="D5" i="3"/>
  <c r="C5" i="3"/>
  <c r="B5" i="3"/>
  <c r="B42" i="1"/>
  <c r="B41" i="1"/>
  <c r="B40" i="1"/>
  <c r="H6" i="3" l="1"/>
  <c r="I6" i="3" s="1"/>
  <c r="H14" i="3"/>
  <c r="I14" i="3" s="1"/>
  <c r="H22" i="3"/>
  <c r="I22" i="3" s="1"/>
  <c r="H30" i="3"/>
  <c r="I30" i="3" s="1"/>
  <c r="H38" i="3"/>
  <c r="I38" i="3" s="1"/>
  <c r="I12" i="3"/>
  <c r="I20" i="3"/>
  <c r="I28" i="3"/>
  <c r="H10" i="3"/>
  <c r="I10" i="3" s="1"/>
  <c r="I18" i="3"/>
  <c r="I26" i="3"/>
  <c r="I34" i="3"/>
  <c r="H5" i="3"/>
  <c r="H43" i="3" s="1"/>
  <c r="I43" i="3" s="1"/>
  <c r="H13" i="3"/>
  <c r="I13" i="3" s="1"/>
  <c r="H21" i="3"/>
  <c r="I21" i="3" s="1"/>
  <c r="H29" i="3"/>
  <c r="I29" i="3" s="1"/>
  <c r="H37" i="3"/>
  <c r="I37" i="3" s="1"/>
  <c r="C43" i="3"/>
  <c r="D43" i="3"/>
  <c r="H8" i="3"/>
  <c r="I8" i="3" s="1"/>
  <c r="H16" i="3"/>
  <c r="I16" i="3" s="1"/>
  <c r="H24" i="3"/>
  <c r="I24" i="3" s="1"/>
  <c r="H32" i="3"/>
  <c r="I32" i="3" s="1"/>
  <c r="H40" i="3"/>
  <c r="I40" i="3" s="1"/>
  <c r="E43" i="3"/>
  <c r="B43" i="3"/>
  <c r="I5"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Checklist</author>
  </authors>
  <commentList>
    <comment ref="I1" authorId="0" shapeId="0" xr:uid="{00000000-0006-0000-0100-000001000000}">
      <text>
        <r>
          <rPr>
            <sz val="11"/>
            <color theme="1"/>
            <rFont val="Calibri"/>
            <family val="2"/>
            <scheme val="minor"/>
          </rPr>
          <t>Pre-filled from the web app: server-only, platform-console and "not in web app" rows are pre-set to Not applicable. Change it if your plan differs.</t>
        </r>
      </text>
    </comment>
    <comment ref="K1" authorId="0" shapeId="0" xr:uid="{00000000-0006-0000-0100-000002000000}">
      <text>
        <r>
          <rPr>
            <sz val="11"/>
            <color theme="1"/>
            <rFont val="Calibri"/>
            <family val="2"/>
            <scheme val="minor"/>
          </rPr>
          <t>Mobile developer: set this as the feature is built. Not applicable = the mobile app does not need it.</t>
        </r>
      </text>
    </comment>
  </commentList>
</comments>
</file>

<file path=xl/sharedStrings.xml><?xml version="1.0" encoding="utf-8"?>
<sst xmlns="http://schemas.openxmlformats.org/spreadsheetml/2006/main" count="9364" uniqueCount="4717">
  <si>
    <t>Scaleezy - Mobile App Feature Checklist</t>
  </si>
  <si>
    <t>Every feature of the Scaleezy web app, for tracking what has been built in the mobile app.</t>
  </si>
  <si>
    <t>Prepared 19-Oct-2026 from the web app source code (frontend/src and the Django backend).</t>
  </si>
  <si>
    <t>Sheets</t>
  </si>
  <si>
    <t>Checklist</t>
  </si>
  <si>
    <t>One row per feature. Columns A-I describe the web feature; columns J-O (yellow) are for the mobile developer to fill in.</t>
  </si>
  <si>
    <t>Summary</t>
  </si>
  <si>
    <t>Progress per module. Calculated automatically from the Checklist - do not type in it.</t>
  </si>
  <si>
    <t>API Routes</t>
  </si>
  <si>
    <t>Every backend route and the checklist features that use it. Routes no web screen calls are listed with a note.</t>
  </si>
  <si>
    <t>How to fill it in (mobile developer)</t>
  </si>
  <si>
    <t>1. Mobile status</t>
  </si>
  <si>
    <t>Pick from the list: Not started, In progress, Done, Blocked, Not applicable.</t>
  </si>
  <si>
    <t>2. Priority</t>
  </si>
  <si>
    <t>High, Medium or Low - set by the product owner.</t>
  </si>
  <si>
    <t>3. Assigned to / Notes</t>
  </si>
  <si>
    <t>Free text. Note anything that behaves differently from the web app.</t>
  </si>
  <si>
    <t>4. Tested? / Tested on</t>
  </si>
  <si>
    <t>Yes once checked against the web app, with the date.</t>
  </si>
  <si>
    <t>Only edit</t>
  </si>
  <si>
    <t>The yellow columns (J-O). Columns A-I come from the web app; filter them, but do not change them.</t>
  </si>
  <si>
    <t>Example of a filled-in row</t>
  </si>
  <si>
    <t>ID</t>
  </si>
  <si>
    <t>ORD-004</t>
  </si>
  <si>
    <t>Feature</t>
  </si>
  <si>
    <t>Bucket chips New / In progress / Closed</t>
  </si>
  <si>
    <t>Priority</t>
  </si>
  <si>
    <t>High</t>
  </si>
  <si>
    <t>Mobile status</t>
  </si>
  <si>
    <t>Done</t>
  </si>
  <si>
    <t>Assigned to</t>
  </si>
  <si>
    <t>Ravi</t>
  </si>
  <si>
    <t>Developer notes</t>
  </si>
  <si>
    <t>Shown as a segmented control at the top of the list.</t>
  </si>
  <si>
    <t>Tested? / Tested on</t>
  </si>
  <si>
    <t>Yes / 24-Oct-2026</t>
  </si>
  <si>
    <t>"Needed in mobile app?" column (pre-filled)</t>
  </si>
  <si>
    <t>Yes</t>
  </si>
  <si>
    <t>A boutique staff screen feature - build it.</t>
  </si>
  <si>
    <t>Customer web page</t>
  </si>
  <si>
    <t>A public page the boutique's customers open (portal, order tracking). Decide whether the mobile app needs it.</t>
  </si>
  <si>
    <t>Server only (no screen)</t>
  </si>
  <si>
    <t>Runs on the server by itself (scheduled jobs, automatic messages). Nothing to build; pre-set to Not applicable.</t>
  </si>
  <si>
    <t>Web only (platform console)</t>
  </si>
  <si>
    <t>The platform owner's Superadmin console, not the boutique app. Pre-set to Not applicable.</t>
  </si>
  <si>
    <t>No - not in web app</t>
  </si>
  <si>
    <t>Recorded so it is not mistaken for a gap: the web app does not offer it (or its screen is not shown). Pre-set to Not applicable.</t>
  </si>
  <si>
    <t>Roles used in the "Who can use it" column</t>
  </si>
  <si>
    <t>Owner</t>
  </si>
  <si>
    <t>The boutique owner (signed up the boutique).</t>
  </si>
  <si>
    <t>Master / Designer</t>
  </si>
  <si>
    <t>Supervisors: run the floor / the design work.</t>
  </si>
  <si>
    <t>Production roles</t>
  </si>
  <si>
    <t>Tailor, Maggam Master, Karigar, Maggam Karigar, Packaging Staff, QC Staff.</t>
  </si>
  <si>
    <t>Admin task</t>
  </si>
  <si>
    <t>A staff member the owner handed extra tasks to (Staff &gt; Roles &amp; Permissions).</t>
  </si>
  <si>
    <t>Totals</t>
  </si>
  <si>
    <t>Features listed</t>
  </si>
  <si>
    <t>Needed in mobile (Yes)</t>
  </si>
  <si>
    <t>Done so far</t>
  </si>
  <si>
    <t>Source</t>
  </si>
  <si>
    <t>Built by reading every screen of the web app and checking the result against all backend API routes. Each row cites its web source file and line, so the developer can open the exact code.</t>
  </si>
  <si>
    <t>Module</t>
  </si>
  <si>
    <t>Screen</t>
  </si>
  <si>
    <t>What it does (acceptance criteria)</t>
  </si>
  <si>
    <t>Who can use it (roles)</t>
  </si>
  <si>
    <t>API endpoint(s)</t>
  </si>
  <si>
    <t>Web source (file:line)</t>
  </si>
  <si>
    <t>Needed in mobile app?</t>
  </si>
  <si>
    <t>Tested?</t>
  </si>
  <si>
    <t>Tested on (date)</t>
  </si>
  <si>
    <t>AUTH-001</t>
  </si>
  <si>
    <t>Login, Sign-up &amp; Session</t>
  </si>
  <si>
    <t>Entry routing</t>
  </si>
  <si>
    <t>URL-based start screen</t>
  </si>
  <si>
    <t>App opens on Login by default. `?reset=&lt;token&gt;` opens Set New Password. `?register` (on a path with no slug) opens Signup. A single path segment matching [a-z0-9]+ (not "app") is read as the boutique shop slug.</t>
  </si>
  <si>
    <t>All</t>
  </si>
  <si>
    <t>client-only</t>
  </si>
  <si>
    <t>frontend/src/App.jsx:1585-1603</t>
  </si>
  <si>
    <t>Not started</t>
  </si>
  <si>
    <t>AUTH-002</t>
  </si>
  <si>
    <t>Shop-slug login (/&lt;slug&gt;)</t>
  </si>
  <si>
    <t>Boutique lookup by slug</t>
  </si>
  <si>
    <t>On /&lt;slug&gt; the app looks up the boutique, shows a loader until the lookup finishes, then shows the boutique name above the Scaleezy wordmark. The heading reads "Welcome back, &lt;owner first name&gt;". An unknown or inactive slug returns 404, which the client treats as null.</t>
  </si>
  <si>
    <t>All (unauthenticated)</t>
  </si>
  <si>
    <t>GET /api/auth/boutique/&lt;slug&gt;/ (crm_api/auth_views.py:378 BoutiqueBySlugView, throttled)</t>
  </si>
  <si>
    <t>frontend/src/App.jsx:1616-1633, 3837-3853; frontend/src/services/api.js:266</t>
  </si>
  <si>
    <t>AUTH-003</t>
  </si>
  <si>
    <t>Boutique not found</t>
  </si>
  <si>
    <t>Not-found screen with recovery actions</t>
  </si>
  <si>
    <t>Shows "No active boutique uses the address /&lt;slug&gt;". Buttons: "Try another address" (opens Find Boutique, prefilled), "Register a boutique" (/app?register) and "Back to Home" (/).</t>
  </si>
  <si>
    <t>client-only (uses result of GET /api/auth/boutique/&lt;slug&gt;/)</t>
  </si>
  <si>
    <t>frontend/src/App.jsx:3779-3800</t>
  </si>
  <si>
    <t>AUTH-004</t>
  </si>
  <si>
    <t>Find your boutique</t>
  </si>
  <si>
    <t>Find a boutique by name or URL</t>
  </si>
  <si>
    <t>One field with a host/ prefix. Input is normalised: the last path segment is lowercased and non-[a-z0-9] characters are stripped. A live preview reads "Goes to host/&lt;slug&gt;". Empty input gives a validation error. A lookup miss shows "No active boutique signs in at /&lt;slug&gt;". A match redirects to /&lt;shop_slug&gt;. The button shows "Checking…" while busy. Back and "Register one" links go to Signup.</t>
  </si>
  <si>
    <t>GET /api/auth/boutique/&lt;slug&gt;/</t>
  </si>
  <si>
    <t>frontend/src/App.jsx:2812-2836, 3717-3777</t>
  </si>
  <si>
    <t>AUTH-005</t>
  </si>
  <si>
    <t>Login</t>
  </si>
  <si>
    <t>Email/username + password sign-in</t>
  </si>
  <si>
    <t>Email and password are required; empty fields trigger the alert "Please fill in all credentials". The shop_slug from the URL is sent as a tenant hint. Double-submit is blocked by a busy flag and the button reads "Signing in…". Server errors show in an inline alert: invalid credentials, suspended boutique (403 "access has been suspended"), throttling, or the 503 maintenance message. On success the token and tenant_id are saved to localStorage.</t>
  </si>
  <si>
    <t>POST /api/auth/login/ {username,password,shop_slug} (crm_api/auth_views.py:407 LoginView)</t>
  </si>
  <si>
    <t>frontend/src/App.jsx:2782-2809, 3856-3915; frontend/src/services/api.js:212-235</t>
  </si>
  <si>
    <t>AUTH-006</t>
  </si>
  <si>
    <t>Show/hide password toggle</t>
  </si>
  <si>
    <t>Eye icon switches the password field between text and password.</t>
  </si>
  <si>
    <t>frontend/src/App.jsx:3884-3890</t>
  </si>
  <si>
    <t>AUTH-007</t>
  </si>
  <si>
    <t>Post-signup login copy</t>
  </si>
  <si>
    <t>After a fresh registration that returned no token, the heading becomes "Your boutique is ready" with "Sign in with the email and password you just created".</t>
  </si>
  <si>
    <t>frontend/src/App.jsx:3853-3854</t>
  </si>
  <si>
    <t>AUTH-008</t>
  </si>
  <si>
    <t>Back to Home / Register links</t>
  </si>
  <si>
    <t>"Back to Home" goes to /. "Register a boutique" goes to /app?register.</t>
  </si>
  <si>
    <t>frontend/src/App.jsx:3806-3831, 3917-3922</t>
  </si>
  <si>
    <t>AUTH-009</t>
  </si>
  <si>
    <t>Role resolution after login</t>
  </si>
  <si>
    <t>Server role comes from resolve_user_role: superuser or tenant owner_email = Owner; tailor_profile.role = production role; designer_profile = Designer; anything else = no role. Landing tab: Designer goes to Designs (requests view); production roles including Master go to My work; Owner and others go to Overview. The user payload carries role, modules, module_groups, admin_tasks, design_system, color_mode, shop_slug, profile_photo, tailor_id and designer_id.</t>
  </si>
  <si>
    <t>POST /api/auth/login/ → user_payload (crm_api/auth_views.py:79-173; core/roles.py:50)</t>
  </si>
  <si>
    <t>frontend/src/App.jsx:2796-2803</t>
  </si>
  <si>
    <t>AUTH-010</t>
  </si>
  <si>
    <t>URL normalised to the boutique slug</t>
  </si>
  <si>
    <t>After login or session restore, the address bar is rewritten to /&lt;shop_slug&gt; using history.replaceState.</t>
  </si>
  <si>
    <t>frontend/src/App.jsx:1636-1641</t>
  </si>
  <si>
    <t>AUTH-011</t>
  </si>
  <si>
    <t>Tenant theme applied at sign-in</t>
  </si>
  <si>
    <t>design_system (scaleezy/atelier) and color_mode from the user payload are applied and stored. A personal mode picked in Settings on this device takes precedence.</t>
  </si>
  <si>
    <t>client-only (from /auth/login or /auth/me payload)</t>
  </si>
  <si>
    <t>frontend/src/App.jsx:1614; frontend/src/theme.js:82-88</t>
  </si>
  <si>
    <t>AUTH-012</t>
  </si>
  <si>
    <t>Forgot password</t>
  </si>
  <si>
    <t>Request reset link</t>
  </si>
  <si>
    <t>Reached from "Forgot password?" on Login, with the email prefilled. Empty email is rejected. The server answers identically whether or not the account exists. Confirmation reads "If &lt;email&gt; has an account, a reset link is on its way… stops working in an hour… check spam". Includes Back to sign in. The button shows "Sending…" while busy.</t>
  </si>
  <si>
    <t>POST /api/auth/password-reset/ {email} (crm_api/auth_views.py:543, throttled)</t>
  </si>
  <si>
    <t>frontend/src/App.jsx:2354-2371, 3896-3903, 3932-3977</t>
  </si>
  <si>
    <t>AUTH-013</t>
  </si>
  <si>
    <t>Set new password (reset link)</t>
  </si>
  <si>
    <t>Choose new password from emailed link</t>
  </si>
  <si>
    <t>The token is read from ?reset= and then removed from the URL. Two password fields: minimum 8 characters, and both must match (client-side check). The server validates the token, the suspended state and Django password validators. On success the local token and tenant are cleared and the screen says "every device… signed out", with a Sign in button. Back to sign in clears the token.</t>
  </si>
  <si>
    <t>POST /api/auth/password-reset/confirm/ {token,password} (crm_api/auth_views.py:576)</t>
  </si>
  <si>
    <t>frontend/src/App.jsx:1658-1662, 2345-2350, 2373-2397, 3981-4029</t>
  </si>
  <si>
    <t>AUTH-014</t>
  </si>
  <si>
    <t>Signup (Register boutique)</t>
  </si>
  <si>
    <t>Single-screen boutique registration</t>
  </si>
  <si>
    <t>Fields: Boutique name and Boutique address (required, max lengths); owner First and Last name (letters cleaned); Email (trimmed and lowercased on blur); Mobile (+91 prefix, 10 digits only); Password (at least 8, with a weak/medium/strong meter); Confirm password (live "Matches"/"Not the same" with a red border); "I agree to Terms &amp; Privacy" checkbox. Create Account stays disabled until every field is valid. Client-side name, email and mobile validators run before submit.</t>
  </si>
  <si>
    <t>POST /api/auth/signup/ {first_name,last_name,email_address,mobile_number,password,business_name,business_address} (crm_api/auth_views.py:246 SignupView)</t>
  </si>
  <si>
    <t>frontend/src/App.jsx:1679-1702, 2838-2872, 3504-3510, 4031-4251</t>
  </si>
  <si>
    <t>AUTH-015</t>
  </si>
  <si>
    <t>Signup</t>
  </si>
  <si>
    <t>Server-side signup rules</t>
  </si>
  <si>
    <t>Validates name, email, mobile and text. Password needs at least 8 characters and passes Django validators. A duplicate owner email is refused with "A user with this email address already exists". The server provisions the tenant schema, a unique shop_slug (e.g. saralaboutique2) and the starter plan, seeds BoutiqueSettings (name, email, phone, address), and returns a token and tenant_id.</t>
  </si>
  <si>
    <t>POST /api/auth/signup/</t>
  </si>
  <si>
    <t>crm_api/auth_views.py:252-371</t>
  </si>
  <si>
    <t>AUTH-016</t>
  </si>
  <si>
    <t>Success state and auto-enter</t>
  </si>
  <si>
    <t>Shows "Registration Complete! Redirecting…" then opens the dashboard after 1.5s. If the server returned no token, it goes to Login instead. The justRegistered flag changes the Overview welcome text.</t>
  </si>
  <si>
    <t>frontend/src/App.jsx:2859-2866, 4232-4238</t>
  </si>
  <si>
    <t>AUTH-017</t>
  </si>
  <si>
    <t>Log in instead / Back to Home</t>
  </si>
  <si>
    <t>Buttons go to the Login view or to /.</t>
  </si>
  <si>
    <t>frontend/src/App.jsx:4035-4060, 4215-4218, 4240-4248</t>
  </si>
  <si>
    <t>AUTH-018</t>
  </si>
  <si>
    <t>Session</t>
  </si>
  <si>
    <t>Restore session on app load</t>
  </si>
  <si>
    <t>If a token is stored, /auth/me/ is called. On success the user is set and routed by role, as on login. A 401/403 clears the token and tenant; other errors such as 5xx keep the session. tenant_id is refreshed from the response. Skipped when opening a reset link. A full-page "Loading Atelier CRM…" loader shows meanwhile.</t>
  </si>
  <si>
    <t>GET /api/auth/me/ (crm_api/auth_views.py:484 MeView.get)</t>
  </si>
  <si>
    <t>frontend/src/App.jsx:2399-2419, 3680-3689; frontend/src/services/api.js:316-340</t>
  </si>
  <si>
    <t>AUTH-019</t>
  </si>
  <si>
    <t>Auto sign-out on confirmed 401</t>
  </si>
  <si>
    <t>Any 401 triggers one re-check of /auth/me/. Only a confirmed 401/403 clears the token and tenant and reloads the app. A network failure or stray 401 keeps the session. The user sees "Your session has ended. Please sign in again."</t>
  </si>
  <si>
    <t>GET /api/auth/me/</t>
  </si>
  <si>
    <t>frontend/src/services/api.js:103-138, 165-171</t>
  </si>
  <si>
    <t>AUTH-020</t>
  </si>
  <si>
    <t>Request headers</t>
  </si>
  <si>
    <t>Every call sends Authorization: Token &lt;token&gt;, X-Tenant-ID: &lt;schema&gt; and Accept-Language: &lt;app_language&gt;.</t>
  </si>
  <si>
    <t>frontend/src/services/api.js:140-156</t>
  </si>
  <si>
    <t>AUTH-021</t>
  </si>
  <si>
    <t>Suspended / maintenance / module-off responses</t>
  </si>
  <si>
    <t>The server middleware returns 403 "This boutique's access has been suspended. Please contact support." when inactive, 503 {error, maintenance:true} in maintenance mode (except always-on paths such as /api/auth/), and 403 "The &lt;X&gt; module is switched off…" for disabled modules. The frontend has no dedicated screen; the message appears as the error text (login alert or action alert).</t>
  </si>
  <si>
    <t>any /api/* (tenants/middleware.py:137-225)</t>
  </si>
  <si>
    <t>frontend/src/services/api.js:165-186</t>
  </si>
  <si>
    <t>AUTH-022</t>
  </si>
  <si>
    <t>Logout</t>
  </si>
  <si>
    <t>Logout with confirmation</t>
  </si>
  <si>
    <t>A Logout item at the bottom of the sidebar (also on the order-selector sidebar) opens a "Log out?" modal: "You will need to sign in again". Cancel or Logout; the button shows "Logging out…". Server token is deleted, local token and tenant cleared, and the user returns to Login.</t>
  </si>
  <si>
    <t>POST /api/auth/logout/ (crm_api/auth_views.py:471)</t>
  </si>
  <si>
    <t>frontend/src/App.jsx:2874-2886, 4362-4363, 7338-7339, 9791-9810; frontend/src/services/api.js:303-314</t>
  </si>
  <si>
    <t>AUTH-023</t>
  </si>
  <si>
    <t>Error screens</t>
  </si>
  <si>
    <t>Runtime error screen</t>
  </si>
  <si>
    <t>Uncaught error or unhandled rejection shows a full-screen stack trace with a "Clear Session &amp; Reload" button that clears localStorage and reloads.</t>
  </si>
  <si>
    <t>frontend/src/App.jsx:2316-2330, 3665-3677</t>
  </si>
  <si>
    <t>AUTH-024</t>
  </si>
  <si>
    <t>Render crash boundary</t>
  </si>
  <si>
    <t>"This screen stopped working" with "Try again" (re-render) and "Reload the page". The crash is reported automatically.</t>
  </si>
  <si>
    <t>POST /api/client-errors/ (crm_api/client_errors.py)</t>
  </si>
  <si>
    <t>frontend/src/ErrorBoundary.jsx:33-66; frontend/src/services/reportCrash.js:29-46</t>
  </si>
  <si>
    <t>AUTH-025</t>
  </si>
  <si>
    <t>Staff credentials (related)</t>
  </si>
  <si>
    <t>Owner resets a staff or designer password / creates a designer login</t>
  </si>
  <si>
    <t>There is no self-service change-password in the app; staff passwords are reset by the Owner from the Staff screen, which shows a generated password once.</t>
  </si>
  <si>
    <t>POST /api/tailors/&lt;id&gt;/reset-password/ ; POST /api/design-studio/designers/&lt;id&gt;/reset-password/ ; POST /api/design-studio/designers/&lt;id&gt;/create-login/</t>
  </si>
  <si>
    <t>frontend/src/features/staff/StaffPanel.jsx:389,743; frontend/src/services/api.js:1585-1608; crm_api/views.py:581</t>
  </si>
  <si>
    <t>NAV-001</t>
  </si>
  <si>
    <t>Navigation &amp; App Shell</t>
  </si>
  <si>
    <t>Sidebar</t>
  </si>
  <si>
    <t>Owner navigation</t>
  </si>
  <si>
    <t>Groups: Overview group (Dashboard=overview, Orders=orders, Production=workshop, Customers=customers, Leads=leads, To-do=todo); Design (designs); Stock (inventory); Team (staff); Finance (finance "Profit &amp; Costs", invoices, analytics); Account group (account, settings). Logout sits at the bottom.</t>
  </si>
  <si>
    <t>frontend/src/App.jsx:1445-1472, 1511-1515</t>
  </si>
  <si>
    <t>NAV-002</t>
  </si>
  <si>
    <t>Master navigation</t>
  </si>
  <si>
    <t>My work (work), To check (check), Done (done), Designs (designs), My Attendance (staff tab), To-do (todo), Account, Settings.</t>
  </si>
  <si>
    <t>Master</t>
  </si>
  <si>
    <t>frontend/src/App.jsx:1473-1481</t>
  </si>
  <si>
    <t>NAV-003</t>
  </si>
  <si>
    <t>Designer navigation</t>
  </si>
  <si>
    <t>My work (work), Design Studio (designs), Production (workshop), To check (check), My Attendance (staff), To-do (todo), Account, Settings.</t>
  </si>
  <si>
    <t>Designer</t>
  </si>
  <si>
    <t>frontend/src/App.jsx:1482-1490</t>
  </si>
  <si>
    <t>NAV-004</t>
  </si>
  <si>
    <t>Other production roles navigation</t>
  </si>
  <si>
    <t>My work (work), Done (done), My Attendance (staff), To-do (todo), Account, Settings.</t>
  </si>
  <si>
    <t>Tailor, Maggam Master, Karigar, Maggam Karigar, Packaging Staff, QC Staff</t>
  </si>
  <si>
    <t>frontend/src/App.jsx:1491-1497</t>
  </si>
  <si>
    <t>NAV-005</t>
  </si>
  <si>
    <t>Admin group (delegated access)</t>
  </si>
  <si>
    <t>For a non-owner given admin_tasks, an "Admin" group is added at the top with Orders, Production (workshop) and Customers. Only sections whose task prefix (orders.*, workshop.*, customers.*) was handed over are added, and only if the role does not already have that tab.</t>
  </si>
  <si>
    <t>client-only (admin_tasks from /auth/me)</t>
  </si>
  <si>
    <t>frontend/src/App.jsx:1500-1509</t>
  </si>
  <si>
    <t>NAV-006</t>
  </si>
  <si>
    <t>Module-based visibility</t>
  </si>
  <si>
    <t>Each tab maps to a module: designs→design_studio, inventory→inventory, staff→staff, finance→finance, todo→todos, alterations→alterations; others are always shown. Tabs are hidden when the module is missing from user.modules (plan entitlement AND role default/override). Empty groups are dropped. A requested tab the user cannot see falls back to their first nav tab. The alterations tab is reachable but not listed.</t>
  </si>
  <si>
    <t>client-only (modules from /auth/me; core/modules.py:477-523)</t>
  </si>
  <si>
    <t>frontend/src/App.jsx:1411-1442, 1518-1522, 1646-1650</t>
  </si>
  <si>
    <t>NAV-007</t>
  </si>
  <si>
    <t>Collapse/expand navigation</t>
  </si>
  <si>
    <t>A toggle button collapses the sidebar to icons; the choice persists in localStorage nav_collapsed. When collapsed, hovering or focusing an item shows a flyout label. Items respond to Enter and Space.</t>
  </si>
  <si>
    <t>frontend/src/App.jsx:1538-1569, 1605-1611, 4336-4341</t>
  </si>
  <si>
    <t>NAV-008</t>
  </si>
  <si>
    <t>Nav pick resets context</t>
  </si>
  <si>
    <t>Picking a tab clears the open customer, customer edit, open order row and selected dashboard order, remounts the section and closes the mobile drawer.</t>
  </si>
  <si>
    <t>frontend/src/App.jsx:4352-4360</t>
  </si>
  <si>
    <t>NAV-009</t>
  </si>
  <si>
    <t>Onboarding hints on nav items</t>
  </si>
  <si>
    <t>A notched hint label appears: "Add new customers" on Customers when the user can add customers and has fewer than 10; "Create your first order" or "Create orders here" on Orders when there are fewer than 10 orders. Hidden while on that tab.</t>
  </si>
  <si>
    <t>Owner, Admin task (customers.add)</t>
  </si>
  <si>
    <t>frontend/src/App.jsx:3693-3701, 1563</t>
  </si>
  <si>
    <t>NAV-010</t>
  </si>
  <si>
    <t>Top bar (mobile)</t>
  </si>
  <si>
    <t>Mobile header</t>
  </si>
  <si>
    <t>Below the breakpoint: hamburger (opens the nav drawer), page title translated per tab, notification bell with unread badge, and an initials avatar (dicebear).</t>
  </si>
  <si>
    <t>frontend/src/components/ui/MobileHeader.jsx:13-46; frontend/src/App.jsx:4256-4284</t>
  </si>
  <si>
    <t>NAV-011</t>
  </si>
  <si>
    <t>Alternate mobile header bar</t>
  </si>
  <si>
    <t>Hamburger/X toggle, wordmark, and a bell button with unread count that opens the drawer and marks all read.</t>
  </si>
  <si>
    <t>POST /api/notifications/mark-all-read/</t>
  </si>
  <si>
    <t>frontend/src/App.jsx:4287-4323</t>
  </si>
  <si>
    <t>NAV-012</t>
  </si>
  <si>
    <t>Mobile nav drawer</t>
  </si>
  <si>
    <t>Off-canvas sidebar with backdrop</t>
  </si>
  <si>
    <t>The hamburger opens the sidebar drawer; tapping the backdrop closes it.</t>
  </si>
  <si>
    <t>frontend/src/App.jsx:4325-4331</t>
  </si>
  <si>
    <t>NAV-013</t>
  </si>
  <si>
    <t>Bottom navigation (phone)</t>
  </si>
  <si>
    <t>Bottom tab bar</t>
  </si>
  <si>
    <t>Shows nav items flagged phone:true (Owner: Dashboard, Orders, Production, Customers, Inventory; production roles: My work, Done/To check, plus Account for non-owner/non-supervisor roles) and a "Menu" tab that opens the drawer. Picking a tab clears the customer selection.</t>
  </si>
  <si>
    <t>frontend/src/App.jsx:7276-7285; frontend/src/components/ui/BottomNavigation.jsx:3-30</t>
  </si>
  <si>
    <t>NAV-014</t>
  </si>
  <si>
    <t>Global search</t>
  </si>
  <si>
    <t>Not present: there is no app-wide search box or command palette. Search exists only inside individual screens (orders, customers, invoices).</t>
  </si>
  <si>
    <t>—</t>
  </si>
  <si>
    <t>none</t>
  </si>
  <si>
    <t>frontend/src/App.jsx (none found)</t>
  </si>
  <si>
    <t>Not applicable</t>
  </si>
  <si>
    <t>NAV-015</t>
  </si>
  <si>
    <t>Notifications</t>
  </si>
  <si>
    <t>Load notifications</t>
  </si>
  <si>
    <t>On dashboard load, if the notifications module is enabled, notifications are fetched for the role and email. There is no polling; they refresh only on reload, Refresh, or after mark-read. The server scopes by role: Owner sees recipient_role=Owner; others see their role with their email or a blank email.</t>
  </si>
  <si>
    <t>All (with notifications module)</t>
  </si>
  <si>
    <t>GET /api/notifications/?role=&amp;email= (crm_api/views.py:1564 NotificationViewSet)</t>
  </si>
  <si>
    <t>frontend/src/App.jsx:2339-2343, 2469; frontend/src/services/api.js:1247-1256</t>
  </si>
  <si>
    <t>NAV-016</t>
  </si>
  <si>
    <t>Bell → drawer + mark all read</t>
  </si>
  <si>
    <t>Clicking a bell (Overview header, mobile headers, order-selector header) opens the "Boutique alerts" right drawer (400px) and marks all as read, then refetches; the button is disabled while marking. The drawer lists title, message and time, with unread items highlighted. Empty state: "No notifications received yet." Close button.</t>
  </si>
  <si>
    <t>POST /api/notifications/mark-all-read/?role=&amp;email= (crm_api/views.py:1595)</t>
  </si>
  <si>
    <t>frontend/src/App.jsx:4393-4417, 9156-9225; frontend/src/services/api.js:1258-1268</t>
  </si>
  <si>
    <t>NAV-017</t>
  </si>
  <si>
    <t>Unread badge</t>
  </si>
  <si>
    <t>Count of is_read=false shown on bells.</t>
  </si>
  <si>
    <t>frontend/src/App.jsx:4272, 4316-4320, 4411-4416</t>
  </si>
  <si>
    <t>NAV-018</t>
  </si>
  <si>
    <t>Language selector</t>
  </si>
  <si>
    <t>11-language switch</t>
  </si>
  <si>
    <t>Dropdown: English, हिंदी, తెలుగు, मराठी, العربية, ગુજરાતી, മലയാളം, தமிழ், ಕನ್ನಡ, Español, Deutsch. Stored in localStorage app_language. Missing keys fall back to English, then to inline fallback text. Sent to the API as Accept-Language.</t>
  </si>
  <si>
    <t>client-only (+ Accept-Language header)</t>
  </si>
  <si>
    <t>frontend/src/components/LanguageSelector.jsx:4-51; frontend/src/i18n/LanguageContext.jsx:1-30; frontend/src/services/api.js:153-154</t>
  </si>
  <si>
    <t>NAV-019</t>
  </si>
  <si>
    <t>Theme</t>
  </si>
  <si>
    <t>Light / Dark / System mode</t>
  </si>
  <si>
    <t>Mode is chosen in Settings and stored per device (color_mode_choice), overriding the tenant default. "System" follows the OS live via matchMedia. The design system (scaleezy/atelier) is set by the platform console and applied from /auth/me. The theme is applied before first paint.</t>
  </si>
  <si>
    <t>frontend/src/theme.js:1-96; frontend/src/main.jsx:11-12</t>
  </si>
  <si>
    <t>NAV-020</t>
  </si>
  <si>
    <t>Onboarding</t>
  </si>
  <si>
    <t>Getting-started checklist (Overview)</t>
  </si>
  <si>
    <t>Steps: Create boutique (done); Add first customer; Take first order; Add tailors/masters/designers (Staff); Put first fabric on the shelf (Inventory); Move an order through the workroom (Orders). Steps whose tab is hidden by modules are dropped. Shows "{done} of {total} done". Undone steps are clickable and navigate (the customer and order steps open the New Order selector). Dismiss persists per tenant in localStorage (onboarding_dismissed_&lt;tenant&gt;). Hidden when all steps are done.</t>
  </si>
  <si>
    <t>frontend/src/App.jsx:1667-1671, 3703-3712, 4449-4500</t>
  </si>
  <si>
    <t>NAV-021</t>
  </si>
  <si>
    <t>Guided highlight on New Order</t>
  </si>
  <si>
    <t>A pulsing ring and callout ("Create your first order" / "Create an order") appear around the Overview New Order button when there are fewer than 10 orders.</t>
  </si>
  <si>
    <t>frontend/src/App.jsx:1528-1536, 4439-4444</t>
  </si>
  <si>
    <t>NAV-022</t>
  </si>
  <si>
    <t>Data load</t>
  </si>
  <si>
    <t>Initial data fetch</t>
  </si>
  <si>
    <t>In parallel: dashboard, customers, orders, tailors (tailors module), designer staff, upcoming appointments (scheduling), fabrics (inventory), designs (design_studio), boutique settings, notifications, and queued customer messages (Owner, or Admin with orders.notify). Per-section failures are tracked in loadErrors.</t>
  </si>
  <si>
    <t>GET /api/dashboard/, /api/customers/, /api/orders/, /api/tailors/, /api/tailors/?attendance=1, /api/scheduling/appointments/?upcoming=true, /api/inventory/items/?picker=true, /api/boutique-designs/, /api/boutique-settings/, /api/notifications/, /api/orders/customer-messages/</t>
  </si>
  <si>
    <t>frontend/src/App.jsx:2422-2476</t>
  </si>
  <si>
    <t>NAV-023</t>
  </si>
  <si>
    <t>Network indicator</t>
  </si>
  <si>
    <t>Top activity bar</t>
  </si>
  <si>
    <t>A 3px sweeping bar shows while any API request is in flight (api-activity event).</t>
  </si>
  <si>
    <t>frontend/src/App.jsx:1396-1409</t>
  </si>
  <si>
    <t>NAV-024</t>
  </si>
  <si>
    <t>History</t>
  </si>
  <si>
    <t>Browser back/forward between tabs</t>
  </si>
  <si>
    <t>Each view/tab change pushes a history entry; Back and Forward restore view and tab. Auth screens are excluded.</t>
  </si>
  <si>
    <t>frontend/src/App.jsx:2504-2531</t>
  </si>
  <si>
    <t>NAV-025</t>
  </si>
  <si>
    <t>Page titles</t>
  </si>
  <si>
    <t>Per-tab mobile title</t>
  </si>
  <si>
    <t>The mobile header title is translated per dashboardTab (Dashboard, Manage Orders, Workshop, Designs, Staff, My work, To check, Done, and so on).</t>
  </si>
  <si>
    <t>frontend/src/App.jsx:4257-4270</t>
  </si>
  <si>
    <t>NAV-026</t>
  </si>
  <si>
    <t>New order shell</t>
  </si>
  <si>
    <t>Order-selector view keeps the sidebar</t>
  </si>
  <si>
    <t>The New Order screen has its own sidebar (same nav sections and Logout), a mobile header titled "New Order" with the bell, and a drawer overlay. Picking a nav item returns to the dashboard tab.</t>
  </si>
  <si>
    <t>frontend/src/App.jsx:7290-7340</t>
  </si>
  <si>
    <t>DASH-001</t>
  </si>
  <si>
    <t>Dashboard (Overview)</t>
  </si>
  <si>
    <t>Header</t>
  </si>
  <si>
    <t>Welcome + clock</t>
  </si>
  <si>
    <t>Title reads "Welcome &lt;name&gt; to Scaleezy!" (just registered with no orders) or "Welcome back, &lt;name&gt;!". A live date and time clock updates every minute. A "Hi, &lt;name&gt;" widget shows the avatar.</t>
  </si>
  <si>
    <t>frontend/src/App.jsx:336-349, 4385-4425</t>
  </si>
  <si>
    <t>DASH-002</t>
  </si>
  <si>
    <t>Refresh button</t>
  </si>
  <si>
    <t>Re-runs the full data load; disabled and shows "Loading..." while loading. The dashboard is also refetched each time the Overview tab is opened.</t>
  </si>
  <si>
    <t>GET /api/dashboard/ (+ all initial loads)</t>
  </si>
  <si>
    <t>frontend/src/App.jsx:4428-4438, 2497-2502</t>
  </si>
  <si>
    <t>DASH-003</t>
  </si>
  <si>
    <t>New Order button</t>
  </si>
  <si>
    <t>Opens the order-type selector (start of the order wizard).</t>
  </si>
  <si>
    <t>frontend/src/App.jsx:4439-4444</t>
  </si>
  <si>
    <t>DASH-004</t>
  </si>
  <si>
    <t>Stat cards</t>
  </si>
  <si>
    <t>Revenue this month</t>
  </si>
  <si>
    <t>Revenue for the month with "{all-time} all time" sub-line (collected = max(amount_paid, advance_paid), cancelled orders excluded). Tap opens Invoices with filter All.</t>
  </si>
  <si>
    <t>GET /api/dashboard/ stats.revenue_month/revenue_total (crm_api/views.py:1648-1726)</t>
  </si>
  <si>
    <t>frontend/src/App.jsx:4510-4512</t>
  </si>
  <si>
    <t>DASH-005</t>
  </si>
  <si>
    <t>To collect</t>
  </si>
  <si>
    <t>Outstanding on live orders, or "all settled". Tap opens Invoices with filter Pending.</t>
  </si>
  <si>
    <t>GET /api/dashboard/ stats.outstanding</t>
  </si>
  <si>
    <t>frontend/src/App.jsx:4513-4515</t>
  </si>
  <si>
    <t>DASH-006</t>
  </si>
  <si>
    <t>Active orders</t>
  </si>
  <si>
    <t>Count, plus "{n} due this week · {n} overdue". Tap opens Production (workshop).</t>
  </si>
  <si>
    <t>GET /api/dashboard/ stats.active_orders/due_soon/overdue</t>
  </si>
  <si>
    <t>frontend/src/App.jsx:4516-4518</t>
  </si>
  <si>
    <t>DASH-007</t>
  </si>
  <si>
    <t>Customers</t>
  </si>
  <si>
    <t>Total customers, plus "Platinum · Gold · Silver" tier counts computed client-side. Tap opens Customers.</t>
  </si>
  <si>
    <t>GET /api/dashboard/ stats.total_customers + GET /api/customers/</t>
  </si>
  <si>
    <t>frontend/src/App.jsx:4519-4521</t>
  </si>
  <si>
    <t>DASH-008</t>
  </si>
  <si>
    <t>In the workroom</t>
  </si>
  <si>
    <t>Production pipeline tiles</t>
  </si>
  <si>
    <t>One tile per current stage, in workflow sequence, plus "Not sent yet" (new orders), each with a count. Tapping "new" opens Orders filtered to New; tapping a stage opens Workshop filtered to that stage. "All orders" links to Workshop. Empty state: "No orders yet. Create the first one…".</t>
  </si>
  <si>
    <t>client-only (from GET /api/orders/)</t>
  </si>
  <si>
    <t>frontend/src/App.jsx:4529-4577</t>
  </si>
  <si>
    <t>DASH-009</t>
  </si>
  <si>
    <t>Needs attention</t>
  </si>
  <si>
    <t>Attention list</t>
  </si>
  <si>
    <t>Merged rows per order: due/overdue chip (with date) and/or "₹X due" balance chip (top 5 of each). "Low stock" row with item count opens Inventory. "Designs awaiting review" row with count opens Design requests. Order rows open the Orders tab. "View All" opens Orders. Empty state: "Nothing needs you right now…".</t>
  </si>
  <si>
    <t>GET /api/dashboard/ attention{due,unpaid,low_stock,pending_designs} (crm_api/views.py:1763-1803)</t>
  </si>
  <si>
    <t>frontend/src/App.jsx:4585-4624</t>
  </si>
  <si>
    <t>DASH-010</t>
  </si>
  <si>
    <t>Today</t>
  </si>
  <si>
    <t>Staff working / present</t>
  </si>
  <si>
    <t>"Working now" (checked in, not out) opens the Staff tab. "Present today" is a distinct count of staff who checked in today.</t>
  </si>
  <si>
    <t>GET /api/dashboard/ today.staff_working/staff_present (crm_api/views.py:1728-1761)</t>
  </si>
  <si>
    <t>frontend/src/App.jsx:4633-4650</t>
  </si>
  <si>
    <t>DASH-011</t>
  </si>
  <si>
    <t>Appointments</t>
  </si>
  <si>
    <t>Upcoming appointments list</t>
  </si>
  <si>
    <t>Table of customer, reason (type or custom type), date ("Today" in bold, row highlighted), time, and staff (or "Unassigned"). Row tap opens details. Empty state: "No appointments booked." with a Book Appointment button. A "Book Appointment" header action is always shown.</t>
  </si>
  <si>
    <t>GET /api/scheduling/appointments/?upcoming=true (apps/scheduling/views.py AppointmentViewSet)</t>
  </si>
  <si>
    <t>frontend/src/App.jsx:4657-4730</t>
  </si>
  <si>
    <t>DASH-012</t>
  </si>
  <si>
    <t>Appointment modal</t>
  </si>
  <si>
    <t>Book appointment</t>
  </si>
  <si>
    <t>Client: Existing (pick from all customers) or New (first name required, last name, mobile required, gender), which creates a customer and sends the confirmation to that number. Type: Design Consultation, Measurement Fitting, Garment Trial (default), Final Delivery, or Other (Other requires custom text up to 50 chars). Date &amp; time is required, cannot be in the past, and has a "Done" helper. With: staff or Unassigned. Notes are optional. Name and mobile are validated client-side.</t>
  </si>
  <si>
    <t>Owner (Master has the scheduling module by default)</t>
  </si>
  <si>
    <t>POST /api/scheduling/appointments/ (new_customer payload for new client)</t>
  </si>
  <si>
    <t>frontend/src/App.jsx:2538-2542, 2578-2623, 6939-7100; frontend/src/services/api.js:518-528</t>
  </si>
  <si>
    <t>DASH-013</t>
  </si>
  <si>
    <t>View/edit appointment</t>
  </si>
  <si>
    <t>Opens prefilled. The client is locked. Type, date &amp; time, staff, notes and Status (Scheduled, Confirmed, Completed, Cancelled, Rescheduled) are editable. Save changes.</t>
  </si>
  <si>
    <t>PATCH /api/scheduling/appointments/&lt;id&gt;/</t>
  </si>
  <si>
    <t>frontend/src/App.jsx:2554-2570, 2608-2610, 7060-7071</t>
  </si>
  <si>
    <t>DASH-014</t>
  </si>
  <si>
    <t>Cancel appointment</t>
  </si>
  <si>
    <t>Confirm dialog: "Cancel this appointment? The customer keeps the record of it." Sets status to CANCELLED (no delete). Hidden when the appointment is already cancelled.</t>
  </si>
  <si>
    <t>PATCH /api/scheduling/appointments/&lt;id&gt;/ {status:CANCELLED}</t>
  </si>
  <si>
    <t>frontend/src/App.jsx:2627-2641, 7079-7085</t>
  </si>
  <si>
    <t>DASH-015</t>
  </si>
  <si>
    <t>Latest orders</t>
  </si>
  <si>
    <t>Recent orders ledger</t>
  </si>
  <si>
    <t>Last 6 orders: reference, customer, garment label, amount, translated status. Row tap or "View all" opens Orders. Empty state: "No orders yet."</t>
  </si>
  <si>
    <t>GET /api/dashboard/ recent_orders</t>
  </si>
  <si>
    <t>frontend/src/App.jsx:4738-4766</t>
  </si>
  <si>
    <t>APPT-001</t>
  </si>
  <si>
    <t>Overview dashboard</t>
  </si>
  <si>
    <t>Appointments card</t>
  </si>
  <si>
    <t>The Owner's Overview has an "Appointments" card (consultations, trials, deliveries still to come). It lists upcoming appointments only: future and not cancelled, soonest first. Columns: Customer, Reason (custom type or type label), Date ("Today" in bold, row highlighted), Time, With (staff or "Unassigned"). The card only loads when the scheduling module is enabled.</t>
  </si>
  <si>
    <t>GET /api/scheduling/appointments/?upcoming=true</t>
  </si>
  <si>
    <t>frontend/src/App.jsx:2460, 4657-4730; apps/scheduling/views.py:14-28</t>
  </si>
  <si>
    <t>APPT-002</t>
  </si>
  <si>
    <t>Book Appointment button</t>
  </si>
  <si>
    <t>"Book Appointment" sits in the card header and is always available; the empty state also has one. Both open a blank booking modal.</t>
  </si>
  <si>
    <t>frontend/src/App.jsx:4660-4674</t>
  </si>
  <si>
    <t>APPT-003</t>
  </si>
  <si>
    <t>Booking modal</t>
  </si>
  <si>
    <t>Existing client booking</t>
  </si>
  <si>
    <t>Client selector (required) of all customers. Type options: Design Consultation / Measurement Fitting / Garment Trial (default) / Final Delivery / Other. Date &amp; time (datetime-local, minimum today) with a confirmation readout and a Done button. "With" picks from the staff roster (optional). Notes are optional and length-capped.</t>
  </si>
  <si>
    <t>POST /api/scheduling/appointments/</t>
  </si>
  <si>
    <t>frontend/src/App.jsx:393-407, 2538-2542, 6939-7100</t>
  </si>
  <si>
    <t>APPT-004</t>
  </si>
  <si>
    <t>New client booking</t>
  </si>
  <si>
    <t>The "Existing client / New client" toggle (new bookings only) swaps in First name (required), Last name, Mobile (required) and Gender. Client-side checks: nameError and mobileError. The server creates the customer with Add Customer's rules, or reuses the customer if the mobile already exists. Sending both a customer and a new_customer, or neither, is refused.</t>
  </si>
  <si>
    <t>POST /api/scheduling/appointments/ {new_customer:{first_name,last_name,mobile_number,gender}}</t>
  </si>
  <si>
    <t>frontend/src/App.jsx:2585-2607, 6956-6991; apps/scheduling/serializers.py:10-82</t>
  </si>
  <si>
    <t>APPT-005</t>
  </si>
  <si>
    <t>Custom appointment type</t>
  </si>
  <si>
    <t>Choosing "Other" shows a required "What kind of appointment?" input (max 50 characters), saved as custom_type. It is cleared when another type is chosen.</t>
  </si>
  <si>
    <t>POST/PATCH /api/scheduling/appointments/</t>
  </si>
  <si>
    <t>frontend/src/App.jsx:7003-7024; apps/scheduling/models.py:11-26</t>
  </si>
  <si>
    <t>APPT-006</t>
  </si>
  <si>
    <t>Booking validation</t>
  </si>
  <si>
    <t>No past bookings</t>
  </si>
  <si>
    <t>The client blocks a past date on new bookings ("The appointment cannot be in the past."). The server rejects a scheduled_time before today (boutique local day) unless the time is unchanged on an edit.</t>
  </si>
  <si>
    <t>frontend/src/App.jsx:2581-2584; apps/scheduling/serializers.py:84-93</t>
  </si>
  <si>
    <t>APPT-007</t>
  </si>
  <si>
    <t>Appointment details</t>
  </si>
  <si>
    <t>Open / view appointment</t>
  </si>
  <si>
    <t>Tapping a row opens "Appointment Details" prefilled, with times converted to local time. The client cannot be changed (select disabled).</t>
  </si>
  <si>
    <t>frontend/src/App.jsx:2554-2570, 4699-4700</t>
  </si>
  <si>
    <t>APPT-008</t>
  </si>
  <si>
    <t>Reschedule / reassign / change status</t>
  </si>
  <si>
    <t>In edit mode, change the date/time, type, staff ("With"), notes and status (Scheduled/Confirmed/Completed/Cancelled/Rescheduled), then "Save changes". The list and dashboard reload.</t>
  </si>
  <si>
    <t>PATCH /api/scheduling/appointments/{id}/</t>
  </si>
  <si>
    <t>frontend/src/App.jsx:2608-2622, 7060-7071</t>
  </si>
  <si>
    <t>APPT-009</t>
  </si>
  <si>
    <t>"Cancel appointment" (shown when not already cancelled) asks "Cancel this appointment? The customer keeps the record of it." and sets status CANCELLED. The record is not deleted.</t>
  </si>
  <si>
    <t>PATCH /api/scheduling/appointments/{id}/ {status:"CANCELLED"}</t>
  </si>
  <si>
    <t>APPT-010</t>
  </si>
  <si>
    <t>Booking</t>
  </si>
  <si>
    <t>WhatsApp confirmation to customer</t>
  </si>
  <si>
    <t>On create only (not on reschedule or cancel), when the boutique has customer messaging enabled and the customer has a mobile: after commit, sends a WhatsApp reading "Hello {first}, This is from {boutique}. Your {type} is booked for {datetime}." with "(Scaleezy)" as the sign-off, plus a staff line when someone is assigned. Up to 3 tries (4s, 10s). Booking never fails because of WhatsApp. An activity log entry is written.</t>
  </si>
  <si>
    <t>Owner (Customer receives)</t>
  </si>
  <si>
    <t>POST /api/scheduling/appointments/ (server side)</t>
  </si>
  <si>
    <t>apps/scheduling/notifications.py:1-106; apps/scheduling/views.py:30-46</t>
  </si>
  <si>
    <t>APPT-011</t>
  </si>
  <si>
    <t>Scheduling API</t>
  </si>
  <si>
    <t>Role and module gating</t>
  </si>
  <si>
    <t>Requires the scheduling module (default on for Owner, Master and Designer). Writes go through RolePermission: the Owner can write; other roles are read-only unless an Admin task grants more. The queryset is limited to visible customers.</t>
  </si>
  <si>
    <t>Owner (write); Master/Designer (read)</t>
  </si>
  <si>
    <t>/api/scheduling/appointments/</t>
  </si>
  <si>
    <t>core/modules.py:76-80, 479; core/permissions.py:181-195; apps/scheduling/views.py:14-16</t>
  </si>
  <si>
    <t>APPT-012</t>
  </si>
  <si>
    <t>Public tracking page</t>
  </si>
  <si>
    <t>Trial appointment card</t>
  </si>
  <si>
    <t>The customer's tracking page shows the latest non-cancelled TRIAL appointment for the order: date, time, boutique address and contact.</t>
  </si>
  <si>
    <t>Public / Customer</t>
  </si>
  <si>
    <t>GET /track/{token}/</t>
  </si>
  <si>
    <t>crm_api/tracking_views.py:90-96; crm_api/templates/crm_api/tracking.html:139-149</t>
  </si>
  <si>
    <t>ORD-001</t>
  </si>
  <si>
    <t>Orders - List</t>
  </si>
  <si>
    <t>Orders list (dashboardTab 'orders'/'workshop')</t>
  </si>
  <si>
    <t>Load orders</t>
  </si>
  <si>
    <t>All orders load once with the dashboard. Visibility is filtered on the server (visible_orders): production staff see only their own work. Optional ?kind=customer|internal filter. The list is filtered on the client, with no pagination.</t>
  </si>
  <si>
    <t>GET /api/orders/ (crm_api/views.py:634 OrderViewSet.get_queryset)</t>
  </si>
  <si>
    <t>frontend/src/App.jsx:2453</t>
  </si>
  <si>
    <t>ORD-002</t>
  </si>
  <si>
    <t>Orders list</t>
  </si>
  <si>
    <t>Page header &amp; search box</t>
  </si>
  <si>
    <t>Free-text search matches order_id, the order reference (#12 / #12-A1) or the customer name (case-insensitive). The search box sits in the page header.</t>
  </si>
  <si>
    <t>frontend/src/App.jsx:5372, frontend/src/App.jsx:2282</t>
  </si>
  <si>
    <t>ORD-003</t>
  </si>
  <si>
    <t>Bucket stat cards</t>
  </si>
  <si>
    <t>Three tappable cards: New (not sent yet), In progress (being made), Closed (Delivered or Cancelled). Tapping one sets the bucket filter. Bucket rule: Delivered/Cancelled = done; any stage other than 'created' started (not NOT_STARTED/SKIPPED) = workshop; otherwise new.</t>
  </si>
  <si>
    <t>frontend/src/App.jsx:5399, frontend/src/App.jsx:258</t>
  </si>
  <si>
    <t>Segmented chips with counts. Default is New. The Workshop tab is always locked to In progress.</t>
  </si>
  <si>
    <t>frontend/src/App.jsx:5410, frontend/src/App.jsx:2260</t>
  </si>
  <si>
    <t>ORD-005</t>
  </si>
  <si>
    <t>Filter: order type</t>
  </si>
  <si>
    <t>All types / Stitching (flow stitching or legacy) / Maggam / Alterations.</t>
  </si>
  <si>
    <t>frontend/src/App.jsx:5420, frontend/src/App.jsx:2275</t>
  </si>
  <si>
    <t>ORD-006</t>
  </si>
  <si>
    <t>Filter: customer tier</t>
  </si>
  <si>
    <t>All / Platinum / Gold / Silver (from customerTier).</t>
  </si>
  <si>
    <t>frontend/src/App.jsx:5427</t>
  </si>
  <si>
    <t>ORD-007</t>
  </si>
  <si>
    <t>Filter: garment</t>
  </si>
  <si>
    <t>Options are built dynamically from every garment name across all orders, sorted A-Z.</t>
  </si>
  <si>
    <t>frontend/src/App.jsx:5432</t>
  </si>
  <si>
    <t>ORD-008</t>
  </si>
  <si>
    <t>Filter: workroom stage</t>
  </si>
  <si>
    <t>Options come from boutique workflow_config (or from stage keys seen on orders). Matches the order's current stage key. On phones the filters fold under a 'Filters' disclosure.</t>
  </si>
  <si>
    <t>frontend/src/App.jsx:5439, frontend/src/App.jsx:5418</t>
  </si>
  <si>
    <t>ORD-009</t>
  </si>
  <si>
    <t>Workshop tab</t>
  </si>
  <si>
    <t>Board / List view toggle</t>
  </si>
  <si>
    <t>Segmented Board (kanban) or List. Only shown on the Workshop tab.</t>
  </si>
  <si>
    <t>frontend/src/App.jsx:5450</t>
  </si>
  <si>
    <t>ORD-010</t>
  </si>
  <si>
    <t>Orders table</t>
  </si>
  <si>
    <t>Order rows</t>
  </si>
  <si>
    <t>Columns: Order ID (+ garment name for per-garment rows), Type (Stitching/Maggam/Alteration), Customer name, Est. delivery date, Status, Action. On phones the customer shows inline. Cancelled rows are dimmed to 55% opacity.</t>
  </si>
  <si>
    <t>frontend/src/App.jsx:5503</t>
  </si>
  <si>
    <t>ORD-011</t>
  </si>
  <si>
    <t>Orders table (Workshop)</t>
  </si>
  <si>
    <t>One row per garment</t>
  </si>
  <si>
    <t>In the Workshop tab, an order whose garments run on separate lanes shows as #15-1, #15-2…, each with its own stage strip.</t>
  </si>
  <si>
    <t>frontend/src/App.jsx:5516</t>
  </si>
  <si>
    <t>ORD-012</t>
  </si>
  <si>
    <t>EXPRESS tag</t>
  </si>
  <si>
    <t>A garment spec with urgency='express' gets an EXPRESS tag and a highlighted row (not shown once delivered or cancelled). Tooltip reads 'Express: Blouse, …'.</t>
  </si>
  <si>
    <t>frontend/src/App.jsx:5545, frontend/src/features/orders/express.js:9</t>
  </si>
  <si>
    <t>ORD-013</t>
  </si>
  <si>
    <t>'Boutique stock' badge</t>
  </si>
  <si>
    <t>Internal production orders (kind='internal') get a badge next to the customer name.</t>
  </si>
  <si>
    <t>frontend/src/App.jsx:5552</t>
  </si>
  <si>
    <t>ORD-014</t>
  </si>
  <si>
    <t>Status / where it stands</t>
  </si>
  <si>
    <t>Done: Delivered/Cancelled badge, delivered-on date (last stage completed_at, else estimated date) and total. New: 'Not sent yet'. Workshop: previous stage ✓ → current stage · assignee · time since (just now / N h / N d) → next stage. A red 'Late' badge shows when the estimated delivery date is before today. A garment handed over while others are still in work shows 'Delivered'.</t>
  </si>
  <si>
    <t>frontend/src/App.jsx:5557, frontend/src/App.jsx:265</t>
  </si>
  <si>
    <t>ORD-015</t>
  </si>
  <si>
    <t>Row action: Send to workshop</t>
  </si>
  <si>
    <t>Shown on New orders.</t>
  </si>
  <si>
    <t>Owner, Master</t>
  </si>
  <si>
    <t>POST /api/orders/{id}/send-to-workshop/</t>
  </si>
  <si>
    <t>frontend/src/App.jsx:5602</t>
  </si>
  <si>
    <t>ORD-016</t>
  </si>
  <si>
    <t>Row action: Alteration</t>
  </si>
  <si>
    <t>Shown on Delivered, non-alteration orders. Opens the Request Alteration modal.</t>
  </si>
  <si>
    <t>POST /api/orders/{id}/alterations/</t>
  </si>
  <si>
    <t>frontend/src/App.jsx:5612</t>
  </si>
  <si>
    <t>ORD-017</t>
  </si>
  <si>
    <t>Row action: View</t>
  </si>
  <si>
    <t>Opens the order detail page. An order in the workshop bucket switches to the Workshop tab, focused on that garment.</t>
  </si>
  <si>
    <t>frontend/src/App.jsx:5620</t>
  </si>
  <si>
    <t>ORD-018</t>
  </si>
  <si>
    <t>Empty states</t>
  </si>
  <si>
    <t>With no orders at all: 'No orders yet' plus a 'Create your first order' button. Otherwise: 'No orders found matching the criteria.'</t>
  </si>
  <si>
    <t>frontend/src/App.jsx:5482</t>
  </si>
  <si>
    <t>ORD-019</t>
  </si>
  <si>
    <t>Orders list header</t>
  </si>
  <si>
    <t>+ New order button</t>
  </si>
  <si>
    <t>Opens the service selector (view 'order-selector'). Has a guided onboarding highlight.</t>
  </si>
  <si>
    <t>Owner, Admin task orders.create</t>
  </si>
  <si>
    <t>frontend/src/App.jsx:5380</t>
  </si>
  <si>
    <t>ORD-020</t>
  </si>
  <si>
    <t>Outside garment alteration button</t>
  </si>
  <si>
    <t>Opens the OutsideGarmentIntake modal.</t>
  </si>
  <si>
    <t>Owner, Master, Admin task workshop.alterations</t>
  </si>
  <si>
    <t>frontend/src/App.jsx:5375</t>
  </si>
  <si>
    <t>ORD-021</t>
  </si>
  <si>
    <t>Workshop board (kanban)</t>
  </si>
  <si>
    <t>Columns per workflow stage</t>
  </si>
  <si>
    <t>Columns follow workflow_config (only stages some order carries). Each column header shows its icon/tone, a description, an order count and an 'N overdue' badge. A card sits in its first unsettled stage.</t>
  </si>
  <si>
    <t>frontend/src/features/orders/OrderKanban.jsx:79</t>
  </si>
  <si>
    <t>ORD-022</t>
  </si>
  <si>
    <t>Workshop board</t>
  </si>
  <si>
    <t>Kanban card</t>
  </si>
  <si>
    <t>Shows a thumbnail (completed garment photo or icon), ref + EXPRESS, a status badge (Not started / In progress / Completed), customer, garment label, delivery date with Overdue / Due soon (≤7 days) badges, handler (assignee/tailor/master), a rework flag (QC failed / Stage reopened) and the payment status badge. Tap or Enter opens the stage panel.</t>
  </si>
  <si>
    <t>frontend/src/features/orders/OrderKanban.jsx:197</t>
  </si>
  <si>
    <t>ORD-023</t>
  </si>
  <si>
    <t>Drag a card to a later column</t>
  </si>
  <si>
    <t>Moving backwards is refused with an alert (use Reopen/Fail QC). Moving to a stage the order's path doesn't include is refused. Skipping more than one stage asks for confirmation, then completes the intermediate stages (optional ones are SKIPPED) and starts the target.</t>
  </si>
  <si>
    <t>All (server enforces stage roles)</t>
  </si>
  <si>
    <t>POST /api/orders/{id}/transition/ (repeated)</t>
  </si>
  <si>
    <t>frontend/src/features/orders/OrderKanban.jsx:101</t>
  </si>
  <si>
    <t>ODT-001</t>
  </si>
  <si>
    <t>Orders - Detail</t>
  </si>
  <si>
    <t>Order page</t>
  </si>
  <si>
    <t>Back link</t>
  </si>
  <si>
    <t>Returns to the Orders (or Workshop) list.</t>
  </si>
  <si>
    <t>frontend/src/App.jsx:4924</t>
  </si>
  <si>
    <t>ODT-002</t>
  </si>
  <si>
    <t>Order page top bar</t>
  </si>
  <si>
    <t>Send to workshop</t>
  </si>
  <si>
    <t>Shown on New orders. With exactly 1 Master and 1 crew member it sends in one tap (alert 'Sent to the workshop — X starts with Y'). Otherwise it opens the Send modal.</t>
  </si>
  <si>
    <t>Owner, Master, Admin task workshop.assign/workshop.move</t>
  </si>
  <si>
    <t>POST /api/orders/{id}/send-to-workshop/ (crm_api/views.py:1347)</t>
  </si>
  <si>
    <t>frontend/src/App.jsx:4930, frontend/src/App.jsx:2675</t>
  </si>
  <si>
    <t>ODT-003</t>
  </si>
  <si>
    <t>Send to workshop modal</t>
  </si>
  <si>
    <t>Pick Master &amp; tailor</t>
  </si>
  <si>
    <t>Master in charge (Masters only) and stitching tailor (non-Master staff, with status shown if not Available). Defaults: the order's current picks, else the first Master and the least-loaded available tailor. Shows the promised-by date and inline errors. Server: closes 'created', starts the first NOT_STARTED stage on every garment row, assigns it, and sets Received→Confirmed. A Designer can assign but does not start stages.</t>
  </si>
  <si>
    <t>Owner, Designer, Master, Admin task workshop.assign</t>
  </si>
  <si>
    <t>frontend/src/App.jsx:9018, frontend/src/App.jsx:2652</t>
  </si>
  <si>
    <t>ODT-004</t>
  </si>
  <si>
    <t>Mark as complete (complete all stages)</t>
  </si>
  <si>
    <t>Shown when stages exist, the order is not all done and it is not New. Confirm dialog warns if payment is incomplete ('₹x of ₹y received'). Completes every remaining stage in order (optional stages SKIPPED) in one transaction and ends Delivered.</t>
  </si>
  <si>
    <t>POST /api/orders/{id}/complete-all/ (crm_api/views.py:821)</t>
  </si>
  <si>
    <t>frontend/src/App.jsx:4936</t>
  </si>
  <si>
    <t>ODT-005</t>
  </si>
  <si>
    <t>Order header</t>
  </si>
  <si>
    <t>Title &amp; status pill</t>
  </si>
  <si>
    <t>'Order #ref' (plus -N · garment name when focused on one garment). Status text: Delivered/Cancelled, 'Not sent yet', or the current stage name.</t>
  </si>
  <si>
    <t>frontend/src/App.jsx:4957</t>
  </si>
  <si>
    <t>ODT-006</t>
  </si>
  <si>
    <t>Master Verified badge</t>
  </si>
  <si>
    <t>'👑 Master Verified: n/6 (or /7 for saree) (x%)'. Shown when any check is ticked.</t>
  </si>
  <si>
    <t>frontend/src/App.jsx:4971</t>
  </si>
  <si>
    <t>ODT-007</t>
  </si>
  <si>
    <t>Order path (flow) switch</t>
  </si>
  <si>
    <t>Badge showing Stitching order / Maggam order / Alteration. It becomes a dropdown (stitching ↔ maggam) only while no stage past 'created' has started, and not for alteration orders. Server refuses once work has begun.</t>
  </si>
  <si>
    <t>Owner, Master, Designer (UI), Admin task workshop.move; server allows Owner/Master only</t>
  </si>
  <si>
    <t>POST /api/orders/{id}/set-flow/ (crm_api/views.py:1454)</t>
  </si>
  <si>
    <t>frontend/src/App.jsx:4976</t>
  </si>
  <si>
    <t>ODT-008</t>
  </si>
  <si>
    <t>Meta line</t>
  </si>
  <si>
    <t>Customer name, 'Taken on' date. For alterations: 'Alteration of #ref' (clickable link to the parent order) or 'Garment from outside', plus the garment name.</t>
  </si>
  <si>
    <t>frontend/src/App.jsx:4998</t>
  </si>
  <si>
    <t>ODT-009</t>
  </si>
  <si>
    <t>Facts row</t>
  </si>
  <si>
    <t>Supervising Master picker</t>
  </si>
  <si>
    <t>Dropdown of Masters (Unassigned allowed). Order-level change PATCHes master; when focused on a garment it assigns every NOT_STARTED non-tailor step of that garment (alerts if all have already started). Production staff see read-only text. Server notifies the new Master.</t>
  </si>
  <si>
    <t>Owner, Designer, Admin task orders.edit (non-production roles)</t>
  </si>
  <si>
    <t>PATCH /api/orders/{id}/ or POST /api/orders/{id}/assign-stage/</t>
  </si>
  <si>
    <t>frontend/src/App.jsx:5023, frontend/src/App.jsx:2681, frontend/src/App.jsx:2705</t>
  </si>
  <si>
    <t>ODT-010</t>
  </si>
  <si>
    <t>Stitching Tailor picker</t>
  </si>
  <si>
    <t>Staff eligible for stitching_in_progress per workflow_config roles. Order-level PATCHes tailor (reassigns production tasks, notifies). Per-garment assigns the tailor steps (stitching_in_progress, finishing, alteration_work). Read-only for production staff.</t>
  </si>
  <si>
    <t>Owner, Designer, Admin task</t>
  </si>
  <si>
    <t>frontend/src/App.jsx:5046</t>
  </si>
  <si>
    <t>ODT-011</t>
  </si>
  <si>
    <t>Total value</t>
  </si>
  <si>
    <t>Order total in ₹. Hidden from production staff.</t>
  </si>
  <si>
    <t>Owner, Designer, Admin</t>
  </si>
  <si>
    <t>frontend/src/App.jsx:5066</t>
  </si>
  <si>
    <t>ODT-012</t>
  </si>
  <si>
    <t>Est. delivery</t>
  </si>
  <si>
    <t>Shows estimated_delivery, or TBD. Read-only: there is no delivery-date edit control in the UI (backend PATCH accepts estimated_delivery; admin task orders.delivery_date exists).</t>
  </si>
  <si>
    <t>All (view)</t>
  </si>
  <si>
    <t>PATCH /api/orders/{id}/ (not wired in UI)</t>
  </si>
  <si>
    <t>frontend/src/App.jsx:5075</t>
  </si>
  <si>
    <t>ODT-013</t>
  </si>
  <si>
    <t>Where it stands strip</t>
  </si>
  <si>
    <t>Previous / Current / Next stage</t>
  </si>
  <si>
    <t>Workshop orders only. Shows each stage's name, completed/started dates, garment tag, assignee and 'waiting for check'. Each pill opens that stage's panel.</t>
  </si>
  <si>
    <t>frontend/src/App.jsx:5086</t>
  </si>
  <si>
    <t>ODT-014</t>
  </si>
  <si>
    <t>Order journey &amp; tasks</t>
  </si>
  <si>
    <t>Progress header</t>
  </si>
  <si>
    <t>'x of y tasks completed', a progress bar and a percentage (scoped to the focused garment).</t>
  </si>
  <si>
    <t>frontend/src/App.jsx:5131</t>
  </si>
  <si>
    <t>ODT-015</t>
  </si>
  <si>
    <t>Task table</t>
  </si>
  <si>
    <t>Numbered stages with a voice-note mic icon, a status badge (Not started / In progress / Paused / Waiting for check / Completed / Skipped), Completed-on date, and an action: Update (live) or View (done). The current row is highlighted. Tapping a row opens the stage panel. Per-garment stages roll up to one row unless a garment lane is selected.</t>
  </si>
  <si>
    <t>frontend/src/App.jsx:941, frontend/src/App.jsx:5139</t>
  </si>
  <si>
    <t>ODT-016</t>
  </si>
  <si>
    <t>Garment lane tabs</t>
  </si>
  <si>
    <t>For multi-garment orders, tabs '1. Blouse · Maggam', '2. Saree'… switch which garment's journey shows. The lane auto-selects the garment currently in work.</t>
  </si>
  <si>
    <t>frontend/src/App.jsx:962</t>
  </si>
  <si>
    <t>ODT-017</t>
  </si>
  <si>
    <t>Customer updates (message queue)</t>
  </si>
  <si>
    <t>Queued WhatsApp messages feed</t>
  </si>
  <si>
    <t>Timeline of the order's customer messages: date/time, template key, to-number, body, and status (sent by X). Header shows a 'N waiting to send' badge. Messages are generated server-side on status changes and garment-ready, and contain the order tracking link (/track/&lt;token&gt;/).</t>
  </si>
  <si>
    <t>Owner, Admin task orders.notify</t>
  </si>
  <si>
    <t>GET /api/orders/customer-messages/ (crm_api/views.py:961)</t>
  </si>
  <si>
    <t>frontend/src/App.jsx:595, frontend/src/App.jsx:5142</t>
  </si>
  <si>
    <t>ODT-018</t>
  </si>
  <si>
    <t>Customer updates</t>
  </si>
  <si>
    <t>Open WhatsApp</t>
  </si>
  <si>
    <t>Opens the wa.me deep link (whatsapp_url) in a new tab. Shows 'No mobile number' when none is on file.</t>
  </si>
  <si>
    <t>client-only (wa.me link)</t>
  </si>
  <si>
    <t>frontend/src/App.jsx:657</t>
  </si>
  <si>
    <t>ODT-019</t>
  </si>
  <si>
    <t>Mark sent</t>
  </si>
  <si>
    <t>Marks the message SENT with sent_by. It leaves the queue.</t>
  </si>
  <si>
    <t>POST /api/orders/{id}/mark-message-sent/ (crm_api/views.py:971)</t>
  </si>
  <si>
    <t>frontend/src/App.jsx:664, frontend/src/App.jsx:2533</t>
  </si>
  <si>
    <t>ODT-020</t>
  </si>
  <si>
    <t>Order tracking link</t>
  </si>
  <si>
    <t>Share tracking page</t>
  </si>
  <si>
    <t>No copy-link button. The tracking URL is embedded in queued customer messages (order confirmation, status change, garment ready) and sent via WhatsApp. The public page shows garments, stage history, payment status and published photos. It is gated by the order_tracking module and an active tenant.</t>
  </si>
  <si>
    <t>Owner (sends) / public customer (views)</t>
  </si>
  <si>
    <t>GET /track/&lt;token&gt;/ (crm_api/tracking_views.py:24)</t>
  </si>
  <si>
    <t>domains/orders/notifications.py:44</t>
  </si>
  <si>
    <t>ODT-021</t>
  </si>
  <si>
    <t>Raw materials checklist</t>
  </si>
  <si>
    <t>Order purchases list</t>
  </si>
  <si>
    <t>Shown when any garment has materials. Lists 'To buy' purchases (non-cancelled): name, garment, quantity+unit, actual or estimated cost, and a status badge (Need to buy / Purchased / Received).</t>
  </si>
  <si>
    <t>client-only (order.purchases)</t>
  </si>
  <si>
    <t>frontend/src/App.jsx:5158</t>
  </si>
  <si>
    <t>ODT-022</t>
  </si>
  <si>
    <t>Show materials (lazy load)</t>
  </si>
  <si>
    <t>A button loads the material plan (created on first look). Header shows '⚠ n of N still to gather' or '✓ All gathered'.</t>
  </si>
  <si>
    <t>GET /api/inventory/material-plans/checklist/?order={id} (apps/inventory/views.py:665)</t>
  </si>
  <si>
    <t>frontend/src/App.jsx:1307</t>
  </si>
  <si>
    <t>ODT-023</t>
  </si>
  <si>
    <t>Tick material gathered</t>
  </si>
  <si>
    <t>Checkbox per line (material, required qty+unit, '(customer's own)'). Records 'Gathered by X · date'. Untick allowed.</t>
  </si>
  <si>
    <t>Owner, Master, Designer</t>
  </si>
  <si>
    <t>POST /api/inventory/material-plans/{planId}/gather/ {line_id, gathered} (apps/inventory/views.py:706)</t>
  </si>
  <si>
    <t>frontend/src/App.jsx:1348</t>
  </si>
  <si>
    <t>ODT-024</t>
  </si>
  <si>
    <t>Material photo</t>
  </si>
  <si>
    <t>Camera/upload photo per line. Image validation: images only, ≤8 MB. Thumbnails link to full size. Also shows the 'x used in stitching' quantity.</t>
  </si>
  <si>
    <t>POST /api/inventory/material-plans/{planId}/line-photo/ (multipart line_id,image) (apps/inventory/views.py:748)</t>
  </si>
  <si>
    <t>frontend/src/App.jsx:1363</t>
  </si>
  <si>
    <t>ODT-025</t>
  </si>
  <si>
    <t>Alterations section</t>
  </si>
  <si>
    <t>Alterations on delivered order</t>
  </si>
  <si>
    <t>Delivered, non-alteration orders only. Lists alteration orders (#ref-A1…): garment, date, status (In the workshop / Delivered / Cancelled), amount. Tapping one opens that alteration order.</t>
  </si>
  <si>
    <t>All (view); raise: Owner, Master</t>
  </si>
  <si>
    <t>client-only (order.alterations)</t>
  </si>
  <si>
    <t>frontend/src/features/alterations/OrderAlterations.jsx:165, frontend/src/App.jsx:5181</t>
  </si>
  <si>
    <t>ODT-026</t>
  </si>
  <si>
    <t>Request alteration modal</t>
  </si>
  <si>
    <t>Take a garment back for alteration</t>
  </si>
  <si>
    <t>Fields: which garment (required if the order has garments), Free—our fault vs Paid—customer request, what needs changing (required; voice dictation), Charge and Paid now (paid only; paid now ≤ charge), Promised by (not in the past). Creates alteration order #ref-A{n} and opens it. Server: parent must be Delivered and not itself an alteration.</t>
  </si>
  <si>
    <t>POST /api/orders/{id}/alterations/ (crm_api/views.py:1305)</t>
  </si>
  <si>
    <t>frontend/src/features/alterations/OrderAlterations.jsx:22</t>
  </si>
  <si>
    <t>ODT-027</t>
  </si>
  <si>
    <t>Master production verification</t>
  </si>
  <si>
    <t>Shown to the Master role only. Checkboxes: Dress &amp; Pattern Cutting, Matching Thread &amp; Accents, Hemming &amp; Seam Finishes, Fall &amp; Pico (Saree only), Hook or Buttons Closure, Garment Steam Pressing, Dispatch or Fit Trial Ready. Each tick saves immediately and is struck through when done.</t>
  </si>
  <si>
    <t>Master (Admin task workshop.review server-side)</t>
  </si>
  <si>
    <t>PATCH /api/orders/{id}/master-verification/ (crm_api/views.py:750)</t>
  </si>
  <si>
    <t>frontend/src/App.jsx:5189</t>
  </si>
  <si>
    <t>ODT-028</t>
  </si>
  <si>
    <t>Delivery card</t>
  </si>
  <si>
    <t>Delivery method / courier / tracking number</t>
  </si>
  <si>
    <t>Shows the delivery method; when Courier: courier, tracking number and address (TBD placeholders). Edit → segmented Direct Pickup / Courier; Courier reveals courier name (≤100), tracking number (≤100) and delivery address (≤500). Choosing Pickup clears courier and tracking. Save / Cancel. A Shipped status message includes courier + tracking.</t>
  </si>
  <si>
    <t>Owner, Designer, Admin task orders.edit (hidden from production staff)</t>
  </si>
  <si>
    <t>PATCH /api/orders/{id}/ {delivery_method, courier_service, tracking_number, delivery_address}</t>
  </si>
  <si>
    <t>frontend/src/App.jsx:1081, frontend/src/App.jsx:5235</t>
  </si>
  <si>
    <t>ODT-029</t>
  </si>
  <si>
    <t>Stitching completion report</t>
  </si>
  <si>
    <t>Tailor comments &amp; completion photos</t>
  </si>
  <si>
    <t>Shows the tailor's comments (with read-aloud SpeakButton) and the stitching-stage photos (or completed_garment_image). View opens a lightbox. Rejected photos show a red border, 'Rejected' badge and remark.</t>
  </si>
  <si>
    <t>frontend/src/App.jsx:5239</t>
  </si>
  <si>
    <t>ODT-030</t>
  </si>
  <si>
    <t>Reject photo / Undo rejection</t>
  </si>
  <si>
    <t>A prompt asks for a remark (required, ≤500) that the tailor reads. Undo clears the verdict.</t>
  </si>
  <si>
    <t>Owner, Master, Designer, Admin task workshop.review</t>
  </si>
  <si>
    <t>POST /api/orders/{id}/review-photo/ {stage_key, url, remark, status REJECTED|CLEAR, garment_job} (crm_api/views.py:1469)</t>
  </si>
  <si>
    <t>frontend/src/App.jsx:5257</t>
  </si>
  <si>
    <t>ODT-031</t>
  </si>
  <si>
    <t>Quality tip</t>
  </si>
  <si>
    <t>Static tip card</t>
  </si>
  <si>
    <t>'Keep the quality high!' reminder.</t>
  </si>
  <si>
    <t>frontend/src/App.jsx:5312</t>
  </si>
  <si>
    <t>ODT-032</t>
  </si>
  <si>
    <t>Side: Garments in this order</t>
  </si>
  <si>
    <t>Garment cards with step chips</t>
  </si>
  <si>
    <t>Each garment (numbered) shows its stage chips coloured by state. Tapping a chip opens that garment's stage panel. Limited to the focused garment when one is focused.</t>
  </si>
  <si>
    <t>frontend/src/App.jsx:1031, frontend/src/App.jsx:5322</t>
  </si>
  <si>
    <t>ODT-033</t>
  </si>
  <si>
    <t>Side: Garment photos (gallery)</t>
  </si>
  <si>
    <t>Upload finished-garment photo</t>
  </si>
  <si>
    <t>View dropdown: Front, Back, Left, Right, Close-up detail, Fabric texture, Sleeve, Blouse, Dupatta (marked '(replace)' if one exists; re-uploading the same view replaces it). Camera or file. Validates image type and size (≤8 MB).</t>
  </si>
  <si>
    <t>Owner, Master, Designer, Admin task workshop.quality</t>
  </si>
  <si>
    <t>POST /api/orders/{id}/garment-images/ (multipart view,image) (crm_api/views.py:855)</t>
  </si>
  <si>
    <t>frontend/src/App.jsx:686, frontend/src/App.jsx:729</t>
  </si>
  <si>
    <t>ODT-034</t>
  </si>
  <si>
    <t>Side: Garment photos</t>
  </si>
  <si>
    <t>Remove photo</t>
  </si>
  <si>
    <t>× on the photo tile deletes it.</t>
  </si>
  <si>
    <t>DELETE /api/orders/{id}/garment-images/{imageId}/ (crm_api/views.py:889)</t>
  </si>
  <si>
    <t>frontend/src/App.jsx:741</t>
  </si>
  <si>
    <t>ODT-035</t>
  </si>
  <si>
    <t>Share with customer / Hide from customer (publish)</t>
  </si>
  <si>
    <t>Publishing requires both FRONT and BACK; the button is disabled with a 'needs front and back' hint until then. The first publish queues a 'garment_ready' WhatsApp message with the tracking link. Header shows 'visible to the customer' or 'n uploaded, not yet shared'.</t>
  </si>
  <si>
    <t>POST /api/orders/{id}/publish-garment-images/ {published} (crm_api/views.py:928)</t>
  </si>
  <si>
    <t>frontend/src/App.jsx:753</t>
  </si>
  <si>
    <t>ODT-036</t>
  </si>
  <si>
    <t>Side: Customer details</t>
  </si>
  <si>
    <t>View customer</t>
  </si>
  <si>
    <t>Jumps to the Customers tab and opens that customer's profile.</t>
  </si>
  <si>
    <t>GET /api/customers/{id}/</t>
  </si>
  <si>
    <t>frontend/src/App.jsx:5331</t>
  </si>
  <si>
    <t>ODT-037</t>
  </si>
  <si>
    <t>Side: Special instructions</t>
  </si>
  <si>
    <t>Edit special instructions (autosave)</t>
  </si>
  <si>
    <t>Textarea (≤500 chars, counter). Saves on blur and every minute, and when the tab hides. Status: Saving… / Saved / Could not save, will retry / Saves on its own. Read-only text for production staff (hidden if empty).</t>
  </si>
  <si>
    <t>Owner, Designer, Admin task orders.edit</t>
  </si>
  <si>
    <t>PATCH /api/orders/{id}/ {special_instructions}</t>
  </si>
  <si>
    <t>frontend/src/App.jsx:1162, frontend/src/App.jsx:5341</t>
  </si>
  <si>
    <t>ODT-038</t>
  </si>
  <si>
    <t>Instructions voice note</t>
  </si>
  <si>
    <t>Record (max 180 s) → listen → Send or Discard. Sent note shows the player plus 'Voice note from X · time' (sender stamped server-side; the workroom is notified). Delete clears it. Read-only player for production staff.</t>
  </si>
  <si>
    <t>Owner, Designer, Admin task orders.edit (record); All (listen)</t>
  </si>
  <si>
    <t>POST /api/voice-notes/ (multipart audio) then PATCH /api/orders/{id}/ {instructions_voice_note}</t>
  </si>
  <si>
    <t>frontend/src/App.jsx:1169, frontend/src/components/ui/VoiceTextarea.jsx:207</t>
  </si>
  <si>
    <t>ODT-039</t>
  </si>
  <si>
    <t>Order activity log</t>
  </si>
  <si>
    <t>Activity history</t>
  </si>
  <si>
    <t>No standalone history screen. order.activities (STAGE_TRANSITION, STAGE_NOTE, ASSIGNMENT, QC_FAILED, STAGE_REOPENED…) is shown as a per-stage notes thread in the stage panel and as the kanban rework flag.</t>
  </si>
  <si>
    <t>client-only (order.activities from GET /api/orders/)</t>
  </si>
  <si>
    <t>frontend/src/App.jsx:9518, frontend/src/features/orders/OrderKanban.jsx:69</t>
  </si>
  <si>
    <t>ODT-040</t>
  </si>
  <si>
    <t>Cancel order</t>
  </si>
  <si>
    <t>No cancel button in the web UI ('Cancelled' only displays). Admin task orders.cancel exists. Backend: PATCH order_status via the order serializer.</t>
  </si>
  <si>
    <t>Owner / Admin task orders.cancel (not wired)</t>
  </si>
  <si>
    <t>frontend/src/App.jsx:257, core/admin_access.py:17</t>
  </si>
  <si>
    <t>STG-001</t>
  </si>
  <si>
    <t>Orders - Workflow Stages</t>
  </si>
  <si>
    <t>Stage modal (opened from table/strip/chips/kanban)</t>
  </si>
  <si>
    <t>Stage summary</t>
  </si>
  <si>
    <t>Title 'Production Stage: name · garment', order ref-N · customer. Shows the garment thumbnail/name, an 'n details' badge, customer, garment count and delivery date. Status badge plus Started, SLA/target hours, Completed, Actual duration and Performed by.</t>
  </si>
  <si>
    <t>frontend/src/App.jsx:9228, frontend/src/App.jsx:9358</t>
  </si>
  <si>
    <t>STG-002</t>
  </si>
  <si>
    <t>Stage modal</t>
  </si>
  <si>
    <t>Verification seen (auto)</t>
  </si>
  <si>
    <t>When a supervisor opens a PENDING_VERIFICATION stage not yet seen, the stage is stamped seen and the worker is notified (idempotent). The panel shows 'Seen by X · time'.</t>
  </si>
  <si>
    <t>Owner, Master, Designer (auto)</t>
  </si>
  <si>
    <t>POST /api/orders/{id}/stage-seen/ {stage_key, garment_job} (crm_api/views.py:1096)</t>
  </si>
  <si>
    <t>frontend/src/App.jsx:3571, frontend/src/App.jsx:9498</t>
  </si>
  <si>
    <t>STG-003</t>
  </si>
  <si>
    <t>Garment brief</t>
  </si>
  <si>
    <t>Per garment: spec, measurements and materials grouped as the template defines them, plus special instructions and the instructions voice note. For orders without garment lines, a 'Special instructions' note with SpeakButton and voice player.</t>
  </si>
  <si>
    <t>frontend/src/App.jsx:9428, frontend/src/features/catalog/OrderGarmentBrief.jsx:1</t>
  </si>
  <si>
    <t>STG-004</t>
  </si>
  <si>
    <t>Designs &amp; fabrics chosen</t>
  </si>
  <si>
    <t>Read-only snapshot (job.selections) of catalogue design parts, fabrics per slot with quantities, and accessories.</t>
  </si>
  <si>
    <t>frontend/src/App.jsx:9460, frontend/src/features/catalog/GarmentSelectionsReview.jsx:1</t>
  </si>
  <si>
    <t>STG-005</t>
  </si>
  <si>
    <t>Stage modal (cutting stages)</t>
  </si>
  <si>
    <t>Fabric used at cutting</t>
  </si>
  <si>
    <t>On pattern_cutting / fabric_cutting. Per planned stock line: planned / reserved / used / waste / on shelf. Enter Used and Waste quantities (≤3 decimals; at least one &gt; 0) → Record. Deducts stock and adds to material cost.</t>
  </si>
  <si>
    <t>POST /api/inventory/material-plans/{planId}/consume/ {line, used, wasted, stage_key} (apps/inventory/views.py:830)</t>
  </si>
  <si>
    <t>frontend/src/App.jsx:1238, frontend/src/App.jsx:9481</t>
  </si>
  <si>
    <t>STG-006</t>
  </si>
  <si>
    <t>Sent back / pending notices</t>
  </si>
  <si>
    <t>'Sent back for rework' note (verification_note) and 'Pending verification' notice with who submitted.</t>
  </si>
  <si>
    <t>frontend/src/App.jsx:9489</t>
  </si>
  <si>
    <t>STG-007</t>
  </si>
  <si>
    <t>Latest note</t>
  </si>
  <si>
    <t>Last comment (with read-aloud) and voice note player 'Voice note from X · time'.</t>
  </si>
  <si>
    <t>frontend/src/App.jsx:9506</t>
  </si>
  <si>
    <t>STG-008</t>
  </si>
  <si>
    <t>Notes thread on this stage</t>
  </si>
  <si>
    <t>Up to 20 activity notes for this stage (user, time, text, voice).</t>
  </si>
  <si>
    <t>frontend/src/App.jsx:9518</t>
  </si>
  <si>
    <t>STG-009</t>
  </si>
  <si>
    <t>Delete a voice note in thread</t>
  </si>
  <si>
    <t>Confirm 'Delete this voice note?'. Removes the clip; a pure-voice note row is removed entirely.</t>
  </si>
  <si>
    <t>Note author, Owner, Master, Designer</t>
  </si>
  <si>
    <t>DELETE /api/orders/{id}/stage-notes/{activityId}/voice-note/ (crm_api/views.py:900)</t>
  </si>
  <si>
    <t>frontend/src/App.jsx:9548</t>
  </si>
  <si>
    <t>STG-010</t>
  </si>
  <si>
    <t>Progress photos gallery</t>
  </si>
  <si>
    <t>Stage attachments with View (lightbox, arrow keys) and Rejected badge/remark.</t>
  </si>
  <si>
    <t>frontend/src/App.jsx:9580</t>
  </si>
  <si>
    <t>STG-011</t>
  </si>
  <si>
    <t>Reject / undo-reject a submitted photo</t>
  </si>
  <si>
    <t>Only while PENDING_VERIFICATION. A remark is required (prompt). Resubmission drops rejected photos.</t>
  </si>
  <si>
    <t>POST /api/orders/{id}/review-photo/</t>
  </si>
  <si>
    <t>frontend/src/App.jsx:9602</t>
  </si>
  <si>
    <t>STG-012</t>
  </si>
  <si>
    <t>Manage Stage Transition</t>
  </si>
  <si>
    <t>Assign this stage to</t>
  </si>
  <si>
    <t>Dropdown of eligible staff (workflow_config roles for the stage; Designers included if allowed) shown as 'name · role'; Unassigned allowed. Server: assigner hierarchy (Owner &gt; Designer &gt; Master &gt; worker). A Master may reassign only their own/unassigned stage unless workshop.reassign. Assignee is notified and an ASSIGNMENT activity is logged.</t>
  </si>
  <si>
    <t>POST /api/orders/{id}/assign-stage/ {stage_key, tailor_id, garment_job} (crm_api/views.py:1166)</t>
  </si>
  <si>
    <t>frontend/src/App.jsx:9630, frontend/src/App.jsx:3622</t>
  </si>
  <si>
    <t>STG-013</t>
  </si>
  <si>
    <t>Comments / fitting logs</t>
  </si>
  <si>
    <t>Textarea (≤2000) with a speech-to-text mic (dictation in the app language).</t>
  </si>
  <si>
    <t>client-only (sent with transition)</t>
  </si>
  <si>
    <t>frontend/src/App.jsx:9650</t>
  </si>
  <si>
    <t>STG-014</t>
  </si>
  <si>
    <t>Stage voice note</t>
  </si>
  <si>
    <t>Record (≤180 s), listen, Send (saved on the stage with the current text; notifies), Delete (clears the clip). Can't save while recording ('Stop the recording first').</t>
  </si>
  <si>
    <t>All (role must be allowed on stage; verifiers too)</t>
  </si>
  <si>
    <t>POST /api/voice-notes/ then POST /api/orders/{id}/transition/ {status unchanged, voice_note | voice_note_clear=1}</t>
  </si>
  <si>
    <t>frontend/src/App.jsx:9664</t>
  </si>
  <si>
    <t>STG-015</t>
  </si>
  <si>
    <t>Upload progress photos</t>
  </si>
  <si>
    <t>Drag &amp; drop / camera, multiple, max 5 (alert if over). Images only, ≤8 MB. Removable thumbnails. Shrunk client-side before upload.</t>
  </si>
  <si>
    <t>sent as images[] with POST /api/orders/{id}/transition/</t>
  </si>
  <si>
    <t>frontend/src/App.jsx:9676, frontend/src/services/api.js:811</t>
  </si>
  <si>
    <t>STG-016</t>
  </si>
  <si>
    <t>Footer</t>
  </si>
  <si>
    <t>Save note</t>
  </si>
  <si>
    <t>Appears when the comment box has text. Leaves a note without changing status.</t>
  </si>
  <si>
    <t>All (stage roles)</t>
  </si>
  <si>
    <t>POST /api/orders/{id}/transition/ (same status + comments)</t>
  </si>
  <si>
    <t>frontend/src/App.jsx:9289</t>
  </si>
  <si>
    <t>STG-017</t>
  </si>
  <si>
    <t>Start / Resume stage</t>
  </si>
  <si>
    <t>For NOT_STARTED or PAUSED stages → IN_PROGRESS. Server enforces prerequisites and stage roles.</t>
  </si>
  <si>
    <t>Owner, Master, Designer, Tailor &amp; production roles allowed for that stage</t>
  </si>
  <si>
    <t>POST /api/orders/{id}/transition/ {status IN_PROGRESS} (crm_api/views.py:1246)</t>
  </si>
  <si>
    <t>frontend/src/App.jsx:9296</t>
  </si>
  <si>
    <t>STG-018</t>
  </si>
  <si>
    <t>Mark completed (supervisor)</t>
  </si>
  <si>
    <t>IN_PROGRESS → COMPLETED directly. The Payment stage asks for confirmation when payment is partial.</t>
  </si>
  <si>
    <t>POST /api/orders/{id}/transition/ {status COMPLETED}</t>
  </si>
  <si>
    <t>frontend/src/App.jsx:9306, frontend/src/App.jsx:9239</t>
  </si>
  <si>
    <t>STG-019</t>
  </si>
  <si>
    <t>Submit for verification (worker)</t>
  </si>
  <si>
    <t>Disabled until at least 1 photo is attached. IN_PROGRESS → PENDING_VERIFICATION. The server turns a worker's COMPLETED into PENDING_VERIFICATION and refuses without a photo.</t>
  </si>
  <si>
    <t>Tailor &amp; production roles</t>
  </si>
  <si>
    <t>POST /api/orders/{id}/transition/ {status PENDING_VERIFICATION, images}</t>
  </si>
  <si>
    <t>frontend/src/App.jsx:9312, domains/orders/services.py:724</t>
  </si>
  <si>
    <t>STG-020</t>
  </si>
  <si>
    <t>Verify: Confirm completed / Send back</t>
  </si>
  <si>
    <t>Confirm → COMPLETED. Send Back prompts 'What needs to be redone?' (required, ≤500) → IN_PROGRESS with verification_note. Workers see 'Marked done. The owner or Master will confirm it.'</t>
  </si>
  <si>
    <t>POST /api/orders/{id}/transition/ {COMPLETED | IN_PROGRESS + comments}</t>
  </si>
  <si>
    <t>frontend/src/App.jsx:9318</t>
  </si>
  <si>
    <t>STG-021</t>
  </si>
  <si>
    <t>Reopen Stage…</t>
  </si>
  <si>
    <t>On COMPLETED/SKIPPED stages. A dialog needs a reason (≤500, dictation) and warns which later begun stages will be reset to Not started. Only the frontier settled stage can reopen. Logged as STAGE_REOPENED.</t>
  </si>
  <si>
    <t>POST /api/orders/{id}/reopen-stage/ {stage_key, reason, garment_job} (crm_api/views.py:1507)</t>
  </si>
  <si>
    <t>frontend/src/App.jsx:9341, frontend/src/App.jsx:9718</t>
  </si>
  <si>
    <t>STG-022</t>
  </si>
  <si>
    <t>Fail QC — Send for Rework…</t>
  </si>
  <si>
    <t>On master_quality_check when not completed. A reason is required. Reopens the stitching→pressing band, drops the order status to Design &amp; Creation and logs QC_FAILED.</t>
  </si>
  <si>
    <t>Owner, Master, QC Staff</t>
  </si>
  <si>
    <t>POST /api/orders/{id}/fail-qc/ {reason, garment_job} (crm_api/views.py:1537)</t>
  </si>
  <si>
    <t>frontend/src/App.jsx:9347, frontend/src/App.jsx:9766</t>
  </si>
  <si>
    <t>STG-023</t>
  </si>
  <si>
    <t>Skip stage</t>
  </si>
  <si>
    <t>No explicit Skip button. Optional stages are auto-SKIPPED by kanban multi-hop, complete-all and update-status.</t>
  </si>
  <si>
    <t>Owner (complete-all) / All (kanban)</t>
  </si>
  <si>
    <t>POST /api/orders/{id}/transition/ {status SKIPPED}</t>
  </si>
  <si>
    <t>frontend/src/features/orders/OrderKanban.jsx:134</t>
  </si>
  <si>
    <t>STG-024</t>
  </si>
  <si>
    <t>Legacy status update</t>
  </si>
  <si>
    <t>Set order status (API only)</t>
  </si>
  <si>
    <t>Unused by the UI. Sets a client status; landing statuses auto-complete the stages up to that point. Non-stage statuses are Owner/Supervisor only.</t>
  </si>
  <si>
    <t>PATCH /api/orders/{id}/update-status/ (crm_api/views.py:763)</t>
  </si>
  <si>
    <t>frontend/src/services/api.js:649</t>
  </si>
  <si>
    <t>PAY-001</t>
  </si>
  <si>
    <t>Orders - Payments</t>
  </si>
  <si>
    <t>Invoices &amp; Billing (dashboardTab 'invoices')</t>
  </si>
  <si>
    <t>Revenue stat cards</t>
  </si>
  <si>
    <t>Total collected (sum of amount_paid, n settled in full), outstanding balance (across n invoices), total invoiced volume.</t>
  </si>
  <si>
    <t>Owner, Admin task orders.invoices/payments</t>
  </si>
  <si>
    <t>frontend/src/App.jsx:6355</t>
  </si>
  <si>
    <t>PAY-002</t>
  </si>
  <si>
    <t>Invoices &amp; Billing</t>
  </si>
  <si>
    <t>Filter chips &amp; search</t>
  </si>
  <si>
    <t>All / Paid / Pending (with counts). Search by invoice ID or client.</t>
  </si>
  <si>
    <t>Owner, Admin</t>
  </si>
  <si>
    <t>frontend/src/App.jsx:6365</t>
  </si>
  <si>
    <t>PAY-003</t>
  </si>
  <si>
    <t>Record payment (Total paid inline edit)</t>
  </si>
  <si>
    <t>Number input per row, saved on blur/Enter. Validated 0 ≤ amount ≤ total; reverts on error with a dismissible error banner. Shows % paid, '₹x advance' and a progress bar. The server derives payment_status (Pending / Partially Paid / Paid), clamps to the total and caps the advance.</t>
  </si>
  <si>
    <t>Owner, Admin task orders.payments/orders.edit</t>
  </si>
  <si>
    <t>PATCH /api/orders/{id}/ {amount_paid} (crm_api/views.py:707 _reconcile_payment)</t>
  </si>
  <si>
    <t>frontend/src/App.jsx:6428</t>
  </si>
  <si>
    <t>PAY-004</t>
  </si>
  <si>
    <t>Balance due</t>
  </si>
  <si>
    <t>Total − paid; red when &gt; 0.</t>
  </si>
  <si>
    <t>frontend/src/App.jsx:6478</t>
  </si>
  <si>
    <t>PAY-005</t>
  </si>
  <si>
    <t>Payment status dropdown</t>
  </si>
  <si>
    <t>Pending / Paid ('Partially Paid' only shown as the current derived value). Paid sets amount_paid = total; Pending sets 0.</t>
  </si>
  <si>
    <t>PATCH /api/orders/{id}/ {payment_status}</t>
  </si>
  <si>
    <t>frontend/src/App.jsx:6485</t>
  </si>
  <si>
    <t>PAY-006</t>
  </si>
  <si>
    <t>View Invoice</t>
  </si>
  <si>
    <t>Opens the invoice modal for the order.</t>
  </si>
  <si>
    <t>Owner, Admin task orders.invoices</t>
  </si>
  <si>
    <t>frontend/src/App.jsx:6515</t>
  </si>
  <si>
    <t>PAY-007</t>
  </si>
  <si>
    <t>Discounts after order</t>
  </si>
  <si>
    <t>No discount editor after placement. Discount is set only in the wizard. Backend PATCH accepts discount (admin task orders.discounts).</t>
  </si>
  <si>
    <t>Owner (wizard)</t>
  </si>
  <si>
    <t>PATCH /api/orders/{id}/ (not wired)</t>
  </si>
  <si>
    <t>core/admin_access.py:30</t>
  </si>
  <si>
    <t>OINV-001</t>
  </si>
  <si>
    <t>Orders - Invoice</t>
  </si>
  <si>
    <t>Invoice modal</t>
  </si>
  <si>
    <t>Render &amp; print invoice</t>
  </si>
  <si>
    <t>Renders with the order's invoice_template (or boutique default, classic/modern/elegant) using order + boutique settings (logo, phone, terms). 'Print Invoice' calls window.print with a print-only stylesheet (save-as-PDF is the 'download' route; no separate download API). Close.</t>
  </si>
  <si>
    <t>Owner, Admin, counter staff after confirm</t>
  </si>
  <si>
    <t>frontend/src/App.jsx:9056, frontend/src/components/invoice/InvoiceTemplates.jsx:629</t>
  </si>
  <si>
    <t>OINV-002</t>
  </si>
  <si>
    <t>Settings › Invoice template</t>
  </si>
  <si>
    <t>Choose invoice template</t>
  </si>
  <si>
    <t>Owner picks Classic / Modern / Elegant with carousel previews and a full preview modal. Saved as the boutique default.</t>
  </si>
  <si>
    <t>GET/PATCH /api/settings/invoice-template/ (crm_api/invoice_views.py:17)</t>
  </si>
  <si>
    <t>frontend/src/components/invoice/InvoiceTemplateSelector.jsx:29</t>
  </si>
  <si>
    <t>VOICE-001</t>
  </si>
  <si>
    <t>Voice Notes</t>
  </si>
  <si>
    <t>Shared components</t>
  </si>
  <si>
    <t>Voice dictation (VoiceTextarea)</t>
  </si>
  <si>
    <t>Mic button on textareas: browser speech-to-text in the app language (falls back to recording if unsupported). Used in comments, issues and notes.</t>
  </si>
  <si>
    <t>frontend/src/components/ui/VoiceTextarea.jsx:25</t>
  </si>
  <si>
    <t>VOICE-002</t>
  </si>
  <si>
    <t>Voice note recorder</t>
  </si>
  <si>
    <t>Idle → Recording (timer, auto-stop at 180 s, red Stop) → Preview (play) → Send / Discard. Sent: player plus Delete. 'This browser cannot record audio' error. Upload returns a media URL.</t>
  </si>
  <si>
    <t>POST /api/voice-notes/ (multipart audio)</t>
  </si>
  <si>
    <t>frontend/src/components/ui/VoiceTextarea.jsx:207</t>
  </si>
  <si>
    <t>VOICE-003</t>
  </si>
  <si>
    <t>Read aloud (SpeakButton)</t>
  </si>
  <si>
    <t>Text-to-speech toggle on notes and tailor comments.</t>
  </si>
  <si>
    <t>frontend/src/components/ui/VoiceTextarea.jsx:350</t>
  </si>
  <si>
    <t>ALT-001</t>
  </si>
  <si>
    <t>Alterations</t>
  </si>
  <si>
    <t>Outside garment intake modal</t>
  </si>
  <si>
    <t>Take in outside garment</t>
  </si>
  <si>
    <t>Customer: existing, or '+ New customer (walk-in)' with first name (required), last name and 10-digit mobile (validated; country code stripped). Garment type from templates, or 'Other' + description (one of them required). Garment details, optional arrival photo (camera/upload), issue size Small/Big, customer request and adjustments (dictation), charge (validated), notes. Always paid. Creates an alteration order and uploads the photo as its FRONT garment image.</t>
  </si>
  <si>
    <t>POST /api/customers/ (new) → POST /api/orders/outside-alteration/ (crm_api/views.py:1327) → POST /api/orders/{id}/garment-images/</t>
  </si>
  <si>
    <t>frontend/src/features/alterations/OutsideGarmentIntake.jsx:26</t>
  </si>
  <si>
    <t>IPRD-001</t>
  </si>
  <si>
    <t>Internal Production (Boutique Stock)</t>
  </si>
  <si>
    <t>Stitch for the boutique dialog</t>
  </si>
  <si>
    <t>Start internal production run</t>
  </si>
  <si>
    <t>Opened from the service selector. Fields: what (template, required), how many (integer 1-50), full garment configurator, Master, Tailor, urgency (Normal / Soon / Rush / Whenever), wanted-by date, notes. No customer, price or payment. Garments go to inventory stock when finished. The order shows a 'Boutique stock' badge.</t>
  </si>
  <si>
    <t>POST /api/orders/internal-production/ (crm_api/views.py:641)</t>
  </si>
  <si>
    <t>frontend/src/features/production/BoutiqueProduction.jsx:30, frontend/src/App.jsx:7446</t>
  </si>
  <si>
    <t>IPRD-002</t>
  </si>
  <si>
    <t>Garment configurator</t>
  </si>
  <si>
    <t>Configure garment for stock run</t>
  </si>
  <si>
    <t>One panel: required/conditional spec fields, production notes, 'More details' optional fields, the look part by part (catalogue picker), fabric from stock (slot picker + quantities), trims &amp; accessories, 'To buy for this run' purchases, measurements.</t>
  </si>
  <si>
    <t>GET /api/catalog/templates/{key}/, GET /api/inventory/items/?picker=true, GET /api/design-studio/assets/</t>
  </si>
  <si>
    <t>frontend/src/features/production/GarmentConfigurator.jsx:34</t>
  </si>
  <si>
    <t>WIZ-001</t>
  </si>
  <si>
    <t>New Order Wizard</t>
  </si>
  <si>
    <t>New order selector (view 'order-selector')</t>
  </si>
  <si>
    <t>Resume saved drafts list</t>
  </si>
  <si>
    <t>Card listing open drafts: customer name (or garments / 'Unnamed customer'), garments, 'Step x of y', last saved time. Resume rehydrates the wizard at the saved step and garment.</t>
  </si>
  <si>
    <t>Owner, Admin task orders.create (anyone who can create orders)</t>
  </si>
  <si>
    <t>GET /api/order-drafts/ (crm_api/views.py:2302)</t>
  </si>
  <si>
    <t>frontend/src/App.jsx:7353, frontend/src/App.jsx:2068</t>
  </si>
  <si>
    <t>WIZ-002</t>
  </si>
  <si>
    <t>New order selector</t>
  </si>
  <si>
    <t>Discard draft</t>
  </si>
  <si>
    <t>Two-step confirm ('Discard this order? … everything entered will be lost' → Keep it / Discard permanently).</t>
  </si>
  <si>
    <t>DELETE /api/order-drafts/{id}/ (crm_api/views.py:2337)</t>
  </si>
  <si>
    <t>frontend/src/App.jsx:7386</t>
  </si>
  <si>
    <t>WIZ-003</t>
  </si>
  <si>
    <t>Service choice</t>
  </si>
  <si>
    <t>Stitch something / Alter a garment (disabled for Designer) / Design something new / Stitch for the boutique (Owner only). Each starts a clean wizard.</t>
  </si>
  <si>
    <t>Owner, Designer, Master, Admin</t>
  </si>
  <si>
    <t>frontend/src/App.jsx:7428, frontend/src/App.jsx:2934</t>
  </si>
  <si>
    <t>WIZ-004</t>
  </si>
  <si>
    <t>Wizard header</t>
  </si>
  <si>
    <t>Autosave status &amp; close</t>
  </si>
  <si>
    <t>'Autosaves every minute' / Saving / Saved / Could not save / Conflict (changed in another tab). Saves every 60 s and on tab hide. Disabled for alterations and after a conflict. The ✕ close saves the draft first (if anything was entered), then returns to the dashboard.</t>
  </si>
  <si>
    <t>POST /api/order-drafts/ (first) / PATCH /api/order-drafts/{id}/ {payload, current_step, customer, version} (409 on conflict)</t>
  </si>
  <si>
    <t>frontend/src/App.jsx:7479, frontend/src/App.jsx:3401, frontend/src/App.jsx:2161, frontend/src/App.jsx:3032</t>
  </si>
  <si>
    <t>WIZ-005</t>
  </si>
  <si>
    <t>Stepper</t>
  </si>
  <si>
    <t>Steps Customer, Garments, Measurements, Review, Complete the order (alter flow: Customer, Garment, Details). Completed steps get a tick. Free jumping to any step for stitch/design; alter flow only back to reached steps. Measurements shows 'Not needed' and is skipped when no garment needs measuring. The Customer step shows 'Fill before completing' if skipped blank. On phones: 'Step x of y'.</t>
  </si>
  <si>
    <t>All wizard users</t>
  </si>
  <si>
    <t>frontend/src/App.jsx:7498, frontend/src/App.jsx:3041</t>
  </si>
  <si>
    <t>WIZ-006</t>
  </si>
  <si>
    <t>Back / Save for later / Next</t>
  </si>
  <si>
    <t>Back moves to the previous garment, then the previous step (skips Measurements when not needed; from step 1 returns to the selector). Save for later persists the draft unvalidated and exits (not on the money step or for alterations). Next label: Next / Complete the order / Create alteration. Single-flight guard ('Working…').</t>
  </si>
  <si>
    <t>POST/PATCH /api/order-drafts/</t>
  </si>
  <si>
    <t>frontend/src/App.jsx:8992, frontend/src/App.jsx:3114, frontend/src/App.jsx:3372</t>
  </si>
  <si>
    <t>WIZ-007</t>
  </si>
  <si>
    <t>Step 1 Customer</t>
  </si>
  <si>
    <t>Mobile number lookup</t>
  </si>
  <si>
    <t>+91 field, digits only (cleaned). From 3 digits, up to 5 matching existing customers appear (avatar, name, mobile, city, tier). Tap to pick.</t>
  </si>
  <si>
    <t>client-only (customers list from GET /api/customers/)</t>
  </si>
  <si>
    <t>frontend/src/App.jsx:7565, frontend/src/App.jsx:3012</t>
  </si>
  <si>
    <t>WIZ-008</t>
  </si>
  <si>
    <t>Known customer card / Not them</t>
  </si>
  <si>
    <t>A picked customer shows name, tier badge, mobile and city. 'Not them' clears the pick (keeps the mobile). Editing the mobile also clears it. Picking loads their measurements.</t>
  </si>
  <si>
    <t>frontend/src/App.jsx:7591, frontend/src/App.jsx:2889</t>
  </si>
  <si>
    <t>WIZ-009</t>
  </si>
  <si>
    <t>New customer name</t>
  </si>
  <si>
    <t>Name field (cleaned, ≤100) split into first/last at the first space. Validation: name ≥ 2 letters, valid 10-digit mobile, valid email if given. The whole step may be left blank and filled before completing.</t>
  </si>
  <si>
    <t>client-only (customer created at confirm)</t>
  </si>
  <si>
    <t>frontend/src/App.jsx:7626, frontend/src/App.jsx:3252, frontend/src/App.jsx:3275</t>
  </si>
  <si>
    <t>WIZ-010</t>
  </si>
  <si>
    <t>Gender (optional)</t>
  </si>
  <si>
    <t>Female / Male / Other. Filters which garment templates are offered (men's vs women's keys). Not shown for alter.</t>
  </si>
  <si>
    <t>frontend/src/App.jsx:7579, frontend/src/App.jsx:429</t>
  </si>
  <si>
    <t>WIZ-011</t>
  </si>
  <si>
    <t>More about the customer (optional)</t>
  </si>
  <si>
    <t>Email (cleaned on blur), city/region, address (≤500), customer tier (Silver / Gold / Platinum), source (Walk In / Instagram / Referral / Website).</t>
  </si>
  <si>
    <t>frontend/src/App.jsx:7637</t>
  </si>
  <si>
    <t>WIZ-012</t>
  </si>
  <si>
    <t>Step 1 (alter)</t>
  </si>
  <si>
    <t>Customer must exist</t>
  </si>
  <si>
    <t>For alterations the customer must be picked from the book. With ≥4 digits and no match: hint 'must already be in your book'.</t>
  </si>
  <si>
    <t>frontend/src/App.jsx:7618</t>
  </si>
  <si>
    <t>WIZ-013</t>
  </si>
  <si>
    <t>Step 2 Garments</t>
  </si>
  <si>
    <t>Pick first garment</t>
  </si>
  <si>
    <t>'Dresses in this Order' dropdown of templates (gender-filtered). Chips with × remove. Retry button if the template list fails. Loading guard while a template fetches.</t>
  </si>
  <si>
    <t>GET /api/catalog/templates/ ; GET /api/catalog/templates/{key}/ (apps/catalog/views.py:31)</t>
  </si>
  <si>
    <t>frontend/src/App.jsx:7699, frontend/src/components/ui/DressesDropdown.jsx:8, frontend/src/App.jsx:1805</t>
  </si>
  <si>
    <t>WIZ-014</t>
  </si>
  <si>
    <t>Recommended garment pairing modal</t>
  </si>
  <si>
    <t>After adding a primary garment (saree → blouse+petticoat; lehenga → choli+dupatta; kurti/anarkali/suit/gown/sherwani → bottom+dupatta; men's suit → trouser+jacket; kurta → pajama+Nehru jacket; indo-western → bottom). Pre-ticks available pairs. 'No / Skip' or confirm adds them, linked to the primary (pairedWith).</t>
  </si>
  <si>
    <t>GET /api/catalog/templates/{key}/</t>
  </si>
  <si>
    <t>frontend/src/components/ui/GarmentPairingModal.jsx:93, frontend/src/App.jsx:9813</t>
  </si>
  <si>
    <t>WIZ-015</t>
  </si>
  <si>
    <t>Per-garment mini stepper</t>
  </si>
  <si>
    <t>For more than one garment: circles per garment showing Done (all required basic/style answered and moved past), Fill in now, Up next, or Something missing (red). Click to open that garment.</t>
  </si>
  <si>
    <t>frontend/src/App.jsx:7711</t>
  </si>
  <si>
    <t>WIZ-016</t>
  </si>
  <si>
    <t>Rename garment on this order</t>
  </si>
  <si>
    <t>Pencil → inline name input (≤60), Enter saves, Esc cancels. Default label is 'Saree 2' when there are duplicates.</t>
  </si>
  <si>
    <t>frontend/src/App.jsx:7783, frontend/src/App.jsx:3061</t>
  </si>
  <si>
    <t>WIZ-017</t>
  </si>
  <si>
    <t>Remove garment</t>
  </si>
  <si>
    <t>Removes the garment and any garments paired to it.</t>
  </si>
  <si>
    <t>frontend/src/App.jsx:7811, frontend/src/App.jsx:1847</t>
  </si>
  <si>
    <t>WIZ-018</t>
  </si>
  <si>
    <t>Quantity (same design) +/−</t>
  </si>
  <si>
    <t>'How many Sarees?' counter. + adds a follower copy that mirrors the source's values as you fill (asks whether to copy the paired blouse too). − removes the last follower. A follower shows 'Same design as X…'. Editing a follower makes it its own design. Hidden on paired garments.</t>
  </si>
  <si>
    <t>frontend/src/App.jsx:7821, frontend/src/App.jsx:3079, frontend/src/App.jsx:3098</t>
  </si>
  <si>
    <t>WIZ-019</t>
  </si>
  <si>
    <t>One with a different design</t>
  </si>
  <si>
    <t>Adds a fresh, independent copy of the same template.</t>
  </si>
  <si>
    <t>frontend/src/App.jsx:7849, frontend/src/App.jsx:3103</t>
  </si>
  <si>
    <t>WIZ-020</t>
  </si>
  <si>
    <t>Step 2 Garments › Details</t>
  </si>
  <si>
    <t>Garment spec fields (template-driven)</t>
  </si>
  <si>
    <t>Required and conditional (visible_when) fields from the basic/style sections. Field types: select (with 'Other (type it)' free text and 'Not in stock? Buy for this order' which creates a purchase row), multiselect checkboxes, number (decimal, max per field or 999.99), date, Yes/No, textarea (voice dictation), inventory_ref (From stock / Customer brought / Buy for this order with qty, unit, cost, needed-by, notes), file (image upload). Errors highlight, scroll and auto-open folds.</t>
  </si>
  <si>
    <t>POST /api/design-studio/reference-upload/ (file fields); GET /api/inventory/items/?category= (inventory_ref)</t>
  </si>
  <si>
    <t>frontend/src/App.jsx:7862, frontend/src/features/catalog/TemplateForm.jsx:48</t>
  </si>
  <si>
    <t>WIZ-021</t>
  </si>
  <si>
    <t>Maggam note voice</t>
  </si>
  <si>
    <t>Textarea fields mapped in MAGGAM_NOTE_VOICE get their own voice recorder; the URL is stored in a sibling spec field.</t>
  </si>
  <si>
    <t>POST /api/voice-notes/</t>
  </si>
  <si>
    <t>frontend/src/features/catalog/TemplateForm.jsx:60</t>
  </si>
  <si>
    <t>WIZ-022</t>
  </si>
  <si>
    <t>Production notes + garment voice note</t>
  </si>
  <si>
    <t>Free-text 'Anything the options above don't cover?' (template special_instructions field) plus a per-garment voice note (record / listen / send / delete) stored in the audio_note spec field.</t>
  </si>
  <si>
    <t>frontend/src/App.jsx:7879, frontend/src/App.jsx:7891</t>
  </si>
  <si>
    <t>WIZ-023</t>
  </si>
  <si>
    <t>Step 2 Garments › Choose design</t>
  </si>
  <si>
    <t>Three design sources</t>
  </si>
  <si>
    <t>Cards: 'Pick a look from our catalogue' (✓ when parts are chosen), 'Photos &amp; references from customer' (✓ n references), 'Customized Designs' (sketch/notes). Each opens a modal with a Done button.</t>
  </si>
  <si>
    <t>frontend/src/App.jsx:7911</t>
  </si>
  <si>
    <t>WIZ-024</t>
  </si>
  <si>
    <t>Chosen-for-this-garment thumbnails</t>
  </si>
  <si>
    <t>Grids 'From our catalogue' and 'Uploaded by the customer', each tile labelled with the part and title. Tap opens full size.</t>
  </si>
  <si>
    <t>frontend/src/App.jsx:7984</t>
  </si>
  <si>
    <t>WIZ-025</t>
  </si>
  <si>
    <t>Design catalogue picker (modal)</t>
  </si>
  <si>
    <t>Browse catalogue designs</t>
  </si>
  <si>
    <t>Loads active designs for the garment template plus untagged ones. Design grid shows cover, title, garment, photograph count and 'n chosen'. Empty states point to Manage Designs. Retry on error.</t>
  </si>
  <si>
    <t>GET /api/design-studio/assets/?template={key}&amp;status=ACTIVE and ?template=none; GET /api/catalog/templates/{key}/</t>
  </si>
  <si>
    <t>frontend/src/features/designStudio/GarmentPartPicker.jsx:480, frontend/src/App.jsx:8026</t>
  </si>
  <si>
    <t>WIZ-026</t>
  </si>
  <si>
    <t>Design catalogue picker</t>
  </si>
  <si>
    <t>Search designs</t>
  </si>
  <si>
    <t>Token search across title, description, category, sub-category, option, garment, neckline, sleeve, designer and part captions. Ranked by relevance. Clear button.</t>
  </si>
  <si>
    <t>frontend/src/features/designStudio/GarmentPartPicker.jsx:916, frontend/src/features/designStudio/GarmentPartPicker.jsx:554</t>
  </si>
  <si>
    <t>WIZ-027</t>
  </si>
  <si>
    <t>Select whole design / pick parts</t>
  </si>
  <si>
    <t>✓ on a card selects every part photo of that design (toggle). Opening a design shows its part photos (sorted by template part order); tapping a part chooses that part (one per part; parts may mix designs). Part-tab mode shows every design's photo for one part.</t>
  </si>
  <si>
    <t>frontend/src/features/designStudio/GarmentPartPicker.jsx:835, frontend/src/features/designStudio/GarmentPartPicker.jsx:218, frontend/src/features/designStudio/GarmentPartPicker.jsx:828</t>
  </si>
  <si>
    <t>WIZ-028</t>
  </si>
  <si>
    <t>Lightbox</t>
  </si>
  <si>
    <t>Full-size viewer with ←/→ (keyboard), 'x of y', 'Select this' / 'Remove selection', Close (Esc).</t>
  </si>
  <si>
    <t>frontend/src/features/designStudio/GarmentPartPicker.jsx:139</t>
  </si>
  <si>
    <t>WIZ-029</t>
  </si>
  <si>
    <t>Customer references (modal)</t>
  </si>
  <si>
    <t>Part tabs</t>
  </si>
  <si>
    <t>Tabs per template design part (work-only parts hidden when the garment has no hand work, unless they hold references). Header shows the 'n references across m parts' count.</t>
  </si>
  <si>
    <t>frontend/src/features/designStudio/GarmentPartPicker.jsx:942, frontend/src/App.jsx:8055</t>
  </si>
  <si>
    <t>WIZ-030</t>
  </si>
  <si>
    <t>Customer references</t>
  </si>
  <si>
    <t>Add photos (upload or live camera)</t>
  </si>
  <si>
    <t>Multiple files, each stored immediately and kept on the open part. Live camera (getUserMedia) with Capture / Cancel, falling back to the native camera input.</t>
  </si>
  <si>
    <t>POST /api/design-studio/reference-upload/ (apps/design_studio/views.py:557)</t>
  </si>
  <si>
    <t>frontend/src/features/designStudio/GarmentPartPicker.jsx:995, frontend/src/features/designStudio/GarmentPartPicker.jsx:793</t>
  </si>
  <si>
    <t>WIZ-031</t>
  </si>
  <si>
    <t>Add reference link</t>
  </si>
  <si>
    <t>URL input (https:// auto-prefixed, duplicates ignored). Enter or Add. The box stays open for more.</t>
  </si>
  <si>
    <t>frontend/src/features/designStudio/GarmentPartPicker.jsx:1000, frontend/src/features/designStudio/GarmentPartPicker.jsx:709</t>
  </si>
  <si>
    <t>WIZ-032</t>
  </si>
  <si>
    <t>Search the web for designs</t>
  </si>
  <si>
    <t>Only if the service is available. Describe the part (Enter / Search). Result cards with source link. 'Keep' copies the image into storage as a reference. Shows 'n found for …', cached, or nothing-found notes.</t>
  </si>
  <si>
    <t>GET/POST /api/design-studio/web-search/ ; POST /api/design-studio/web-keep/ (apps/design_studio/views.py:591, :637)</t>
  </si>
  <si>
    <t>frontend/src/features/designStudio/GarmentPartPicker.jsx:1006, frontend/src/features/designStudio/GarmentPartPicker.jsx:728</t>
  </si>
  <si>
    <t>WIZ-033</t>
  </si>
  <si>
    <t>Kept references grid / remove</t>
  </si>
  <si>
    <t>Per-part grid (Your photo / Your link labels, part badge). Tap opens the source. × removes.</t>
  </si>
  <si>
    <t>frontend/src/features/designStudio/GarmentPartPicker.jsx:1106</t>
  </si>
  <si>
    <t>WIZ-034</t>
  </si>
  <si>
    <t>Customized Designs (modal)</t>
  </si>
  <si>
    <t>List customer designs</t>
  </si>
  <si>
    <t>Captured designs for the customer, filtered to this garment: image, title, customer · garment, Drawn/Uploaded badge, 'In boutique designs' badge, View. Retry on error.</t>
  </si>
  <si>
    <t>GET /api/design-studio/customer-designs/?customer={id}</t>
  </si>
  <si>
    <t>frontend/src/features/designStudio/CustomerDesigns.jsx:472, frontend/src/App.jsx:8085</t>
  </si>
  <si>
    <t>WIZ-035</t>
  </si>
  <si>
    <t>Customized Designs</t>
  </si>
  <si>
    <t>Upload or draw customer design</t>
  </si>
  <si>
    <t>Upload Design (photo of a paper sketch via dropzone/camera) or Draw Design (canvas: ink colours, pen sizes, eraser, undo, redo, clear). Fields: design name (required), customer (required; can be the new customer typed on step 1, created on save), garment, attach to existing order, notes (dictation), 'Also add to boutique designs' toggle (default on). Validations: name, customer, photo or drawing present.</t>
  </si>
  <si>
    <t>POST /api/customers/ (new) ; POST /api/design-studio/customer-designs/ (multipart, source drawn|uploaded, add_to_library)</t>
  </si>
  <si>
    <t>frontend/src/features/designStudio/CustomerDesigns.jsx:246, frontend/src/features/designStudio/CustomerDesigns.jsx:94</t>
  </si>
  <si>
    <t>WIZ-036</t>
  </si>
  <si>
    <t>View customer design</t>
  </si>
  <si>
    <t>Modal with full image, customer, garment, order, source, library status, captured date and notes.</t>
  </si>
  <si>
    <t>frontend/src/features/designStudio/CustomerDesigns.jsx:426</t>
  </si>
  <si>
    <t>WIZ-037</t>
  </si>
  <si>
    <t>Step 2 (design service)</t>
  </si>
  <si>
    <t>Designer assignment &amp; brief</t>
  </si>
  <si>
    <t>'Who designs it?' designer dropdown (required; auto-selected if only one active designer; empty-state hint) plus 'What does the customer want?' brief (≤2000). On confirm, a design assignment is created per garment with the ready-by date.</t>
  </si>
  <si>
    <t>GET /api/design-studio/designers/?active=true</t>
  </si>
  <si>
    <t>frontend/src/App.jsx:8123, frontend/src/App.jsx:3383, frontend/src/App.jsx:3300</t>
  </si>
  <si>
    <t>WIZ-038</t>
  </si>
  <si>
    <t>Step 2 Garments › Choose fabric</t>
  </si>
  <si>
    <t>Fabric source</t>
  </si>
  <si>
    <t>Template field fabric_source (inventory / buy / customer) drives which pickers show. 'buy' shows a hint to note it under Trims or in the notes.</t>
  </si>
  <si>
    <t>frontend/src/App.jsx:8157, frontend/src/App.jsx:8186</t>
  </si>
  <si>
    <t>WIZ-039</t>
  </si>
  <si>
    <t>Filter fabrics by colour</t>
  </si>
  <si>
    <t>Colour wheel (hex), typed colour name, or a dropdown of the boutique's own roll colours with counts. Clear (×). Filters the stock picker.</t>
  </si>
  <si>
    <t>Users with Inventory module</t>
  </si>
  <si>
    <t>frontend/src/features/fabrics/FabricColorFilter.jsx:29, frontend/src/App.jsx:8173</t>
  </si>
  <si>
    <t>WIZ-040</t>
  </si>
  <si>
    <t>Fabric from our stock (slot picker)</t>
  </si>
  <si>
    <t>Tabs per garment part/slot from the fabric taxonomy ('✓ Pallu (2)'). Fabric cards show image, name, material · colour, ₹/unit and in-stock amount. Multi-select per slot. A 'Selected fabrics' summary is grouped by part with remove. Rolls with no placement show in every slot.</t>
  </si>
  <si>
    <t>GET /api/inventory/items/?picker=true ; fabric taxonomy</t>
  </si>
  <si>
    <t>frontend/src/features/fabrics/GarmentFabricPicker.jsx:341, frontend/src/App.jsx:8165</t>
  </si>
  <si>
    <t>WIZ-041</t>
  </si>
  <si>
    <t>To buy for this order (purchases)</t>
  </si>
  <si>
    <t>'Not in stock? Buy for this order' adds rows: what (name), quantity, unit, estimated cost ₹, needed-by date, notes. Remove row. Row validation (purchaseError). Becomes an inventory OrderPurchase on confirm.</t>
  </si>
  <si>
    <t>client-only (saved via draft confirm)</t>
  </si>
  <si>
    <t>frontend/src/features/catalog/GarmentPurchases.jsx:40, frontend/src/App.jsx:8195</t>
  </si>
  <si>
    <t>WIZ-042</t>
  </si>
  <si>
    <t>Customer fabrics (they bring it)</t>
  </si>
  <si>
    <t>Per-slot photo upload of the customer's cloth, with a free-text length/size per part. Chips with remove. Auto-opens when fabric_source = customer.</t>
  </si>
  <si>
    <t>POST /api/design-studio/reference-upload/</t>
  </si>
  <si>
    <t>frontend/src/App.jsx:8199, frontend/src/features/designStudio/GarmentPartPicker.jsx:971</t>
  </si>
  <si>
    <t>WIZ-043</t>
  </si>
  <si>
    <t>Step 2 Garments › Trims &amp; accessories</t>
  </si>
  <si>
    <t>Boutique accessories from stock</t>
  </si>
  <si>
    <t>Accessory multi-select dropdown (garment-specific options). Per accessory: subtype chips and a measurement/size text field. Stock items picked per accessory slot.</t>
  </si>
  <si>
    <t>GET /api/inventory/items/?picker=true</t>
  </si>
  <si>
    <t>frontend/src/App.jsx:8213, frontend/src/features/fabrics/GarmentFabricPicker.jsx:457</t>
  </si>
  <si>
    <t>WIZ-044</t>
  </si>
  <si>
    <t>Customer accessories (my accessories)</t>
  </si>
  <si>
    <t>Accessory dropdown plus photo uploads of the customer's own accessories per type.</t>
  </si>
  <si>
    <t>frontend/src/App.jsx:8227</t>
  </si>
  <si>
    <t>WIZ-045</t>
  </si>
  <si>
    <t>Previous / Next garment navigation</t>
  </si>
  <si>
    <t>Bottom buttons '← previous garment' and 'Next garment: X →' (Next runs the same validation and save as the footer Next).</t>
  </si>
  <si>
    <t>PATCH /api/order-drafts/{id}/</t>
  </si>
  <si>
    <t>frontend/src/App.jsx:8244</t>
  </si>
  <si>
    <t>WIZ-046</t>
  </si>
  <si>
    <t>Add another garment</t>
  </si>
  <si>
    <t>'Do you need to add another garment?' fold with a dropdown of not-yet-added templates.</t>
  </si>
  <si>
    <t>frontend/src/App.jsx:8271</t>
  </si>
  <si>
    <t>WIZ-047</t>
  </si>
  <si>
    <t>Next validation</t>
  </si>
  <si>
    <t>Needs ≥1 garment. Validates the open garment's basic/style required fields (alert + highlight), marks it done, moves to the next unfinished garment (saving the cursor), then re-validates all. Design service requires a designer. Then goes to Measurements, or skips straight to Review.</t>
  </si>
  <si>
    <t>frontend/src/App.jsx:3281</t>
  </si>
  <si>
    <t>WIZ-048</t>
  </si>
  <si>
    <t>Step 2 sidebar</t>
  </si>
  <si>
    <t>'See it on a model' AI garment preview</t>
  </si>
  <si>
    <t>Sticky sidebar card for the open garment. The base model photo (front/back if files exist) is shown even before drawing. Only offered when the vendor is configured and the garment has a design (or is drawable plain).</t>
  </si>
  <si>
    <t>All wizard users (Design Studio permission)</t>
  </si>
  <si>
    <t>GET /api/design-studio/preview/ (available, garments) (apps/design_studio/views.py:684)</t>
  </si>
  <si>
    <t>frontend/src/App.jsx:8791, frontend/src/features/designStudio/GarmentPreview.jsx:263</t>
  </si>
  <si>
    <t>WIZ-049</t>
  </si>
  <si>
    <t>AI preview</t>
  </si>
  <si>
    <t>Who wears it: standard model vs customer photo</t>
  </si>
  <si>
    <t>Radio choice. Customer mode needs a consent checkbox (timestamped) and a full-length photo (camera/upload, view full size, change, remove). Shows photo-taking tips. Without consent only the standard model is used. With no customer yet: 'Go to Customer step'. Changing the photo clears old customer previews. Stored on the draft (customerForm.ai_model).</t>
  </si>
  <si>
    <t>frontend/src/features/designStudio/GarmentPreview.jsx:100</t>
  </si>
  <si>
    <t>WIZ-050</t>
  </si>
  <si>
    <t>Preview options</t>
  </si>
  <si>
    <t>Show it as: Photo on a model / On a mannequin / Sketch with labels (always a photo on the customer's own picture). Model gender Female/Male. More options: Worn with (colour text + exact colour picker + clear, note ≤300), motif colours (keep each design's own / recolour to fabric), design coverage (whole part / follow the picture's layout). Sides: Front &amp; back / Front only / Back only. 'Use this model in the preview' checkbox.</t>
  </si>
  <si>
    <t>frontend/src/features/designStudio/GarmentPreview.jsx:198, frontend/src/features/designStudio/GarmentPreview.jsx:490</t>
  </si>
  <si>
    <t>WIZ-051</t>
  </si>
  <si>
    <t>Draw / Draw again / Stop</t>
  </si>
  <si>
    <t>Button labels: Preview on a model / Show on a mannequin / Draw the sketch / Draw on the customer / Draw again. Live seconds counter with expected wait (up to 4 min for front+back). Stop cancels the vendor job. Shows quality warnings, errors and sketch labels. A customer picture first ensures the customer exists (creating or matching by mobile). The result is saved on job.design (preview / preview_back / mannequin_preview / sketch_preview+labels / customer_preview) and rides the draft.</t>
  </si>
  <si>
    <t>POST /api/design-studio/preview/ ; POST /api/design-studio/preview/cancel/ {clientId} ; POST /api/customers/ (ensureCustomerId)</t>
  </si>
  <si>
    <t>frontend/src/features/designStudio/GarmentPreview.jsx:374, frontend/src/App.jsx:8800, frontend/src/App.jsx:2903</t>
  </si>
  <si>
    <t>WIZ-052</t>
  </si>
  <si>
    <t>Lightbox on preview pictures</t>
  </si>
  <si>
    <t>Eye button on each picture opens a stepping lightbox (front, back, model front/back).</t>
  </si>
  <si>
    <t>frontend/src/features/designStudio/GarmentPreview.jsx:508</t>
  </si>
  <si>
    <t>WIZ-053</t>
  </si>
  <si>
    <t>Step 3 Measurements</t>
  </si>
  <si>
    <t>Measurement entry per garment</t>
  </si>
  <si>
    <t>One card per garment with the template's measurements section only (unit-aware numeric fields, ≤999.99, 2 decimals). Pre-filled from the customer's saved sheet ('✓ Customer measurements loaded'). On Next: validate (alert + highlight), then write values back to the customer's measurement sheet. 'Nothing to measure' state; the step is auto-skipped when not needed.</t>
  </si>
  <si>
    <t>client-only (saved via draft; sheet updated at confirm)</t>
  </si>
  <si>
    <t>frontend/src/App.jsx:8293, frontend/src/App.jsx:3135, frontend/src/App.jsx:3148, frontend/src/App.jsx:3309</t>
  </si>
  <si>
    <t>WIZ-054</t>
  </si>
  <si>
    <t>Notes for the tailor + voice note (special instructions)</t>
  </si>
  <si>
    <t>Textarea with dictation (≤2000) plus voice recorder (record ≤180 s / listen / send / delete). Sender name and time are stamped. Lands on the order's special instructions at confirm.</t>
  </si>
  <si>
    <t>POST /api/voice-notes/ (crm_api/views.py:1600)</t>
  </si>
  <si>
    <t>frontend/src/App.jsx:8346</t>
  </si>
  <si>
    <t>WIZ-055</t>
  </si>
  <si>
    <t>Step 4 Review</t>
  </si>
  <si>
    <t>Review cards with Edit</t>
  </si>
  <si>
    <t>Customer (name, mobile, gender, city), Apparel (maggam vs plain-stitching path badge, mixed-path note, garment summary of every answer), Photos &amp; references (grouped Design / Stock fabric / Boutique accessories / From the customer, with View lightbox), To buy table, Stock fabric table (qty in m), Designer + brief. Each card's Edit jumps to the owning step/section.</t>
  </si>
  <si>
    <t>frontend/src/App.jsx:8369, frontend/src/features/catalog/GarmentSummary.jsx:1</t>
  </si>
  <si>
    <t>WIZ-056</t>
  </si>
  <si>
    <t>AI pictures on the customer</t>
  </si>
  <si>
    <t>Only with consent and photo. Draws each garment on the customer using their photo plus measurements.</t>
  </si>
  <si>
    <t>POST /api/design-studio/preview/ (with measurements, clientId)</t>
  </si>
  <si>
    <t>frontend/src/App.jsx:8502</t>
  </si>
  <si>
    <t>WIZ-057</t>
  </si>
  <si>
    <t>Step 5 Complete the order</t>
  </si>
  <si>
    <t>Ready-by date</t>
  </si>
  <si>
    <t>Required date, min today. Must not be in the past. Every garment's trial_date must be ≤ ready-by. Default today+15.</t>
  </si>
  <si>
    <t>frontend/src/App.jsx:8566, frontend/src/App.jsx:3334</t>
  </si>
  <si>
    <t>WIZ-058</t>
  </si>
  <si>
    <t>More details (optional garment fields)</t>
  </si>
  <si>
    <t>Per garment, a fold of the remaining optional basic/style fields (urgency/express, trial date, etc.), validated on completion.</t>
  </si>
  <si>
    <t>frontend/src/App.jsx:8574</t>
  </si>
  <si>
    <t>WIZ-059</t>
  </si>
  <si>
    <t>Pricing / quote per garment</t>
  </si>
  <si>
    <t>Base price ₹ per garment (placeholder 'quote later' for design service). Extra-work rows auto-appear for backing, border, fall, pico, maggam/hand work. Stock fabric/accessory lines: editable quantity × the item's selling price = read-only amount ('no price set' hint).</t>
  </si>
  <si>
    <t>frontend/src/App.jsx:8595, frontend/src/App.jsx:3447, frontend/src/App.jsx:3458</t>
  </si>
  <si>
    <t>WIZ-060</t>
  </si>
  <si>
    <t>Packaging &amp; discount</t>
  </si>
  <si>
    <t>Packaging &amp; handling ₹ (default 500). Optional discount ₹. A discount above the subtotal is clamped with an alert.</t>
  </si>
  <si>
    <t>frontend/src/App.jsx:8655, frontend/src/App.jsx:3346</t>
  </si>
  <si>
    <t>WIZ-061</t>
  </si>
  <si>
    <t>GST 5% on (garments + packaging − discount), then the grand total.</t>
  </si>
  <si>
    <t>frontend/src/App.jsx:8670, frontend/src/App.jsx:3489</t>
  </si>
  <si>
    <t>WIZ-062</t>
  </si>
  <si>
    <t>Advance payment</t>
  </si>
  <si>
    <t>'Advance paid now' ₹. Advance above the total is clamped with an alert. Shows 'Paid in full' or 'Balance at delivery ₹x'. Payment option full/partial is derived. The server applies the advance to amount_paid and payment status.</t>
  </si>
  <si>
    <t>client-only (draft payload.payment)</t>
  </si>
  <si>
    <t>frontend/src/App.jsx:8675, frontend/src/App.jsx:3353</t>
  </si>
  <si>
    <t>WIZ-063</t>
  </si>
  <si>
    <t>Error banner</t>
  </si>
  <si>
    <t>Dismissible alert for place-order failures (conflict in another tab, already placed, server reason + 'Nothing was booked').</t>
  </si>
  <si>
    <t>frontend/src/App.jsx:8558</t>
  </si>
  <si>
    <t>WIZ-064</t>
  </si>
  <si>
    <t>Complete the order (confirm)</t>
  </si>
  <si>
    <t>Final checks: ≥1 garment, customer valid, measurements, ready-by, More details valid, discount and advance limits. Saves the draft, then confirms in one transaction: customer created/updated (with gender) plus measurement sheet; order with prices, estimated delivery, special instructions + voice; garment jobs (spec, measurements, materials, selections snapshot); design board items; designer assignment; order purchases; customer materials received; stages; advance; stock reserved; notifications. A retry finds the draft spent (409 'already placed').</t>
  </si>
  <si>
    <t>PATCH /api/order-drafts/{id}/ → POST /api/order-drafts/{id}/confirm/ (crm_api/views.py:2344)</t>
  </si>
  <si>
    <t>frontend/src/App.jsx:3320, frontend/src/App.jsx:3164</t>
  </si>
  <si>
    <t>WIZ-065</t>
  </si>
  <si>
    <t>Order confirmed screen</t>
  </si>
  <si>
    <t>Confirmation summary</t>
  </si>
  <si>
    <t>'Order created for {name} 🎉', order ID, order date, payment status · paid (of total), estimated delivery, 'What happens next' timeline.</t>
  </si>
  <si>
    <t>frontend/src/App.jsx:8871</t>
  </si>
  <si>
    <t>WIZ-066</t>
  </si>
  <si>
    <t>Chat on WhatsApp</t>
  </si>
  <si>
    <t>Opens a wa.me link to the customer's mobile.</t>
  </si>
  <si>
    <t>client-only (wa.me)</t>
  </si>
  <si>
    <t>frontend/src/App.jsx:8958</t>
  </si>
  <si>
    <t>WIZ-067</t>
  </si>
  <si>
    <t>Send to workshop / In the workshop</t>
  </si>
  <si>
    <t>Sends the new order to the workshop (same modal or one-tap rules). Shows 'In the workshop · tailor' once sent.</t>
  </si>
  <si>
    <t>Owner, Master, Admin task workshop.assign</t>
  </si>
  <si>
    <t>frontend/src/App.jsx:8969</t>
  </si>
  <si>
    <t>WIZ-068</t>
  </si>
  <si>
    <t>View &amp; Print Invoice / Back to Dashboard</t>
  </si>
  <si>
    <t>Opens the invoice modal (print). Back reloads the dashboard.</t>
  </si>
  <si>
    <t>frontend/src/App.jsx:8980</t>
  </si>
  <si>
    <t>WIZ-069</t>
  </si>
  <si>
    <t>Wizard sidebar</t>
  </si>
  <si>
    <t>How it works &amp; This order</t>
  </si>
  <si>
    <t>Step list with descriptions. 'This order' card shows customer, garment names and (on the money step) the total. Privacy note.</t>
  </si>
  <si>
    <t>frontend/src/App.jsx:8829, frontend/src/App.jsx:8846</t>
  </si>
  <si>
    <t>WIZ-070</t>
  </si>
  <si>
    <t>Step 2 Garment</t>
  </si>
  <si>
    <t>Pick delivered garment</t>
  </si>
  <si>
    <t>Radio list of garment jobs from the customer's Delivered orders (name, order ref, delivered date). Auto-picks when only one. Empty state if nothing was delivered. Next requires a pick.</t>
  </si>
  <si>
    <t>frontend/src/App.jsx:8697, frontend/src/App.jsx:3021</t>
  </si>
  <si>
    <t>WIZ-071</t>
  </si>
  <si>
    <t>Step 3 Details</t>
  </si>
  <si>
    <t>Create alteration</t>
  </si>
  <si>
    <t>'What is wrong' (required, dictation, ≤2000). Who pays: Free · our fault / Paid · customer request. Paid: optional charge and paid-now (paid now ≤ charge). Creates the alteration order and opens it in Orders. No drafts or autosave for alterations.</t>
  </si>
  <si>
    <t>POST /api/orders/{orderId}/alterations/ {garment_job, issue, charge, paid_now}</t>
  </si>
  <si>
    <t>frontend/src/App.jsx:8734, frontend/src/App.jsx:3225</t>
  </si>
  <si>
    <t>WIZ-072</t>
  </si>
  <si>
    <t>Re-order from customer profile</t>
  </si>
  <si>
    <t>Reorder / go with existing design</t>
  </si>
  <si>
    <t>From a customer profile: starts a stitch wizard with the customer pre-picked; reorder copies packaging and discount; existing design copies design notes.</t>
  </si>
  <si>
    <t>frontend/src/App.jsx:5981</t>
  </si>
  <si>
    <t>CAT-001</t>
  </si>
  <si>
    <t>Garment Catalogue</t>
  </si>
  <si>
    <t>Garment templates</t>
  </si>
  <si>
    <t>Template catalogue (read-only)</t>
  </si>
  <si>
    <t>No in-app screen to create or edit garment templates: the API is read-only (managed by seed/Django admin). The wizard, the internal-production dialog and the outside intake list and load templates (sections, fields, options, visible_when, design_parts). A server-side spec validate action exists.</t>
  </si>
  <si>
    <t>All (read)</t>
  </si>
  <si>
    <t>GET /api/catalog/templates/ ; GET /api/catalog/templates/{key}/ ; POST /api/catalog/templates/{key}/validate/ (apps/catalog/views.py:31, :60)</t>
  </si>
  <si>
    <t>frontend/src/services/api.js:1769</t>
  </si>
  <si>
    <t>CAT-002</t>
  </si>
  <si>
    <t>Garment jobs</t>
  </si>
  <si>
    <t>Garment jobs API (not used by UI)</t>
  </si>
  <si>
    <t>List/create garment jobs per order and add/remove job materials. Garment jobs are created by draft confirm instead.</t>
  </si>
  <si>
    <t>Owner/staff</t>
  </si>
  <si>
    <t>GET/POST /api/catalog/jobs/?order= ; POST /api/catalog/jobs/{id}/materials/ ; DELETE /api/catalog/jobs/{id}/materials/{mid}/ (apps/catalog/views.py:75)</t>
  </si>
  <si>
    <t>frontend/src/services/api.js:1781</t>
  </si>
  <si>
    <t>CUS-001</t>
  </si>
  <si>
    <t>Sidebar nav</t>
  </si>
  <si>
    <t>Customers and Leads entries</t>
  </si>
  <si>
    <t>Owner sidebar shows "Customers" and "Leads" under Overview. An Admin who has been handed any customers.* task gets "Customers" in the Admin group. Master, Designer and production roles have no customer tab.</t>
  </si>
  <si>
    <t>Owner; Admin task customers.*</t>
  </si>
  <si>
    <t>frontend/src/App.jsx:1453-1454, 1504-1509</t>
  </si>
  <si>
    <t>CUS-002</t>
  </si>
  <si>
    <t>Customer list</t>
  </si>
  <si>
    <t>Load customer book</t>
  </si>
  <si>
    <t>Fetches every customer as a summary (measurements, order_count, total_spend, style_dna, is_lead, segment). The server scopes the rows: Owner, Master, Designer and Admins with customers/orders tasks see everyone; other staff see only customers on orders assigned or queued to them.</t>
  </si>
  <si>
    <t>All (scoped)</t>
  </si>
  <si>
    <t>GET /api/customers/</t>
  </si>
  <si>
    <t>frontend/src/App.jsx:2448; crm_api/views.py:81; core/permissions.py:402</t>
  </si>
  <si>
    <t>CUS-003</t>
  </si>
  <si>
    <t>Customers vs Leads split</t>
  </si>
  <si>
    <t>A lead is a customer with is_lead=true and 0 orders. The Leads tab lists only leads and the Customers tab lists everyone else. The title and the "Total Leads"/"Total Customers" card change with the tab.</t>
  </si>
  <si>
    <t>Owner; Admin</t>
  </si>
  <si>
    <t>frontend/src/App.jsx:3637-3641, 5671</t>
  </si>
  <si>
    <t>CUS-004</t>
  </si>
  <si>
    <t>Header search</t>
  </si>
  <si>
    <t>Case-insensitive search on full name, mobile digits and email. Changing the search resets to page 1.</t>
  </si>
  <si>
    <t>frontend/src/App.jsx:3642-3652, 5675</t>
  </si>
  <si>
    <t>CUS-005</t>
  </si>
  <si>
    <t>Four cards: Total customers/leads (sub-line "N with orders"), Platinum customers (sub-line Gold/Silver counts), New This Month (by created_at), With Orders (1+ order).</t>
  </si>
  <si>
    <t>frontend/src/App.jsx:5701-5718</t>
  </si>
  <si>
    <t>CUS-006</t>
  </si>
  <si>
    <t>Tier filter chips</t>
  </si>
  <si>
    <t>Chips: All / Platinum / Gold / Silver, each with a count. The tier is customer_type, and any other value counts as Silver.</t>
  </si>
  <si>
    <t>frontend/src/App.jsx:193, 230, 5720-5723</t>
  </si>
  <si>
    <t>CUS-007</t>
  </si>
  <si>
    <t>Result counter</t>
  </si>
  <si>
    <t>Shows "Showing X–Y of N", plus "(T in total)" when filters narrow the list.</t>
  </si>
  <si>
    <t>frontend/src/App.jsx:5724-5729</t>
  </si>
  <si>
    <t>CUS-008</t>
  </si>
  <si>
    <t>Customer filters</t>
  </si>
  <si>
    <t>Country code filter</t>
  </si>
  <si>
    <t>Dropdown of the mobile country codes found among customers, with counts and the most common first. +1 is labelled "USA / Canada" and shared codes get "&amp; others".</t>
  </si>
  <si>
    <t>frontend/src/features/customers/CustomerFilters.jsx:49; frontend/src/features/customers/filterRules.js:83-99</t>
  </si>
  <si>
    <t>CUS-009</t>
  </si>
  <si>
    <t>Orders filter</t>
  </si>
  <si>
    <t>All customers / With orders (1+) / Repeat (2+ orders) / No orders yet.</t>
  </si>
  <si>
    <t>frontend/src/features/customers/filterRules.js:14-16, 137-140</t>
  </si>
  <si>
    <t>CUS-010</t>
  </si>
  <si>
    <t>Measurements filter</t>
  </si>
  <si>
    <t>Any / Recorded / Not recorded. A customer counts as recorded if any core or additional measurement is &gt; 0; the empty record created with every customer does not count.</t>
  </si>
  <si>
    <t>frontend/src/features/customers/filterRules.js:17, 47-54</t>
  </si>
  <si>
    <t>CUS-011</t>
  </si>
  <si>
    <t>Sort</t>
  </si>
  <si>
    <t>Default / Newest first / Oldest first / Name A–Z / Name Z–A / Most orders / Highest spend. Ties fall back to name.</t>
  </si>
  <si>
    <t>frontend/src/features/customers/filterRules.js:24-27, 151-161</t>
  </si>
  <si>
    <t>CUS-012</t>
  </si>
  <si>
    <t>More filters panel</t>
  </si>
  <si>
    <t>Collapsible row with Added (Any time / This month / Last 30 days / Last 90 days / This year), Birthday (This month / In the next 30 days / Not added), Source, Gender (includes "Not set") and City / region (case-insensitive). The panel opens on its own and the toggle is disabled while any hidden filter is set; the button badge shows how many hidden filters are active.</t>
  </si>
  <si>
    <t>frontend/src/features/customers/CustomerFilters.jsx:43-77; frontend/src/features/customers/filterRules.js:59-80, 115-121</t>
  </si>
  <si>
    <t>CUS-013</t>
  </si>
  <si>
    <t>A–Z name-letter strip</t>
  </si>
  <si>
    <t>"All" plus A–Z and "#" (non-Latin or digit), filtering on the first letter of the name. Letters with no customers are disabled, the tooltip gives the count, and clicking the active letter clears it.</t>
  </si>
  <si>
    <t>frontend/src/features/customers/CustomerFilters.jsx:79-96</t>
  </si>
  <si>
    <t>CUS-014</t>
  </si>
  <si>
    <t>Clear filters</t>
  </si>
  <si>
    <t>The "Clear (n)" button resets every filter and the sort. It appears when any filter or a sort is set. When the empty state is caused by filters it also offers "Clear filters".</t>
  </si>
  <si>
    <t>frontend/src/features/customers/CustomerFilters.jsx:61-65; frontend/src/App.jsx:5763-5767</t>
  </si>
  <si>
    <t>CUS-015</t>
  </si>
  <si>
    <t>Pagination / page size</t>
  </si>
  <si>
    <t>Page sizes are 20, 30, 40 and 50. The pager only appears when there are more than 20 results. The page resets when the search, tier, filters, page size or view changes, and changing page scrolls to the top of the list.</t>
  </si>
  <si>
    <t>frontend/src/App.jsx:195, 3654-3663, 5905-5909</t>
  </si>
  <si>
    <t>CUS-016</t>
  </si>
  <si>
    <t>Table row content</t>
  </si>
  <si>
    <t>Each row shows: avatar initials, name, tier badge, mobile/email/city; up to 4 recorded body measurements among those relevant to the garment parts (Bust, Waist, Hips, Shoulder, Arm, Neck, Length); style tags (garment and parts, neckline, sleeve, silhouette, occasion) and custom requirements; order count; spend and registered date. Tapping a row (or Enter/Space) opens the profile.</t>
  </si>
  <si>
    <t>frontend/src/App.jsx:5786-5899</t>
  </si>
  <si>
    <t>CUS-017</t>
  </si>
  <si>
    <t>View Style DNA modal</t>
  </si>
  <si>
    <t>The "View Style DNA" link on a row opens a modal with the Style profile: Total spent, Style preferences, Size, Visit pattern, Activity/risk status (coloured dot) and Suggested next step, with the note "Calculated from sales data".</t>
  </si>
  <si>
    <t>client-only (style_dna from list payload)</t>
  </si>
  <si>
    <t>frontend/src/App.jsx:289-333, 5873, 5916-5923</t>
  </si>
  <si>
    <t>CUS-018</t>
  </si>
  <si>
    <t>Loading / error / empty states</t>
  </si>
  <si>
    <t>Shows skeleton rows while loading. If the load fails: "Could not load the customer directory" with Retry. An empty book shows an explainer and an "Add your first customer" button.</t>
  </si>
  <si>
    <t>frontend/src/App.jsx:5739-5770</t>
  </si>
  <si>
    <t>CUS-019</t>
  </si>
  <si>
    <t>Onboarding highlight</t>
  </si>
  <si>
    <t>A pulsing "Add your first customer" / "Start here" callout on Add Customer while the book has fewer than 10 customers.</t>
  </si>
  <si>
    <t>Owner; Admin customers.add</t>
  </si>
  <si>
    <t>frontend/src/App.jsx:1528-1536, 3695, 5692</t>
  </si>
  <si>
    <t>CUS-020</t>
  </si>
  <si>
    <t>Row Edit / Delete icons</t>
  </si>
  <si>
    <t>Pencil and trash icons on each row. Visibility uses canAddCustomer (Owner or Admin customers.add). A button is disabled while an action on that row is running.</t>
  </si>
  <si>
    <t>Owner; Admin customers.add (server requires customers.edit / customers.delete)</t>
  </si>
  <si>
    <t>PATCH/DELETE /api/customers/{id}/</t>
  </si>
  <si>
    <t>frontend/src/App.jsx:3694, 5885-5896</t>
  </si>
  <si>
    <t>CUS-021</t>
  </si>
  <si>
    <t>Customer detail</t>
  </si>
  <si>
    <t>Open customer profile</t>
  </si>
  <si>
    <t>Shows the list row at once, then loads the full record (orders, measurement history, design preferences, fabric selections, referred_by). The "Back to Customers" link returns to the list.</t>
  </si>
  <si>
    <t>frontend/src/App.jsx:3579-3593, 5996-5998</t>
  </si>
  <si>
    <t>CUS-022</t>
  </si>
  <si>
    <t>Profile header</t>
  </si>
  <si>
    <t>Header shows large initials avatar, name, tier badge, source, mobile, email and address/city. Stats: Customer since, Total orders, Preference (occasion or garment_type).</t>
  </si>
  <si>
    <t>frontend/src/App.jsx:6028-6060</t>
  </si>
  <si>
    <t>CUS-023</t>
  </si>
  <si>
    <t>Measurements card</t>
  </si>
  <si>
    <t>Shows the measurements relevant to the customer's stitch_parts, or the first 8 recorded, plus Occasion. "View All" / "View all N measurements" expands to every recorded core and additional value; "View less" collapses. Empty state: "No measurements saved yet."</t>
  </si>
  <si>
    <t>frontend/src/App.jsx:5929-5976, 6064-6110, 6137</t>
  </si>
  <si>
    <t>CUS-024</t>
  </si>
  <si>
    <t>Measurement history</t>
  </si>
  <si>
    <t>Scrollable list of versions, newest first, labelled "Version N" with the changed_at time and every non-empty value. A version is written whenever the measurement sheet changes.</t>
  </si>
  <si>
    <t>GET /api/customers/{id}/ (measurement_history field; also GET /api/customers/{id}/measurement-history/ unused)</t>
  </si>
  <si>
    <t>frontend/src/App.jsx:6111-6134; crm_api/views.py:222</t>
  </si>
  <si>
    <t>CUS-025</t>
  </si>
  <si>
    <t>Order history list</t>
  </si>
  <si>
    <t>Each row shows thumbnail, order reference, garment label, tailor, stage progress (done/total and current stage), status badge, date and total. The card's "View All" goes to the Orders tab. Empty state: "No orders yet."</t>
  </si>
  <si>
    <t>GET /api/customers/{id}/ (orders)</t>
  </si>
  <si>
    <t>frontend/src/App.jsx:6141-6183</t>
  </si>
  <si>
    <t>CUS-026</t>
  </si>
  <si>
    <t>Expand order row</t>
  </si>
  <si>
    <t>Tap to expand: stage timeline (tap a stage to open stage review), a stage grid with assignee and completion date, and payment status, delivery method and expected date.</t>
  </si>
  <si>
    <t>client-only (stage review → POST /api/orders/{id}/stage-seen/)</t>
  </si>
  <si>
    <t>frontend/src/App.jsx:6185-6211, 3563-3576</t>
  </si>
  <si>
    <t>CUS-027</t>
  </si>
  <si>
    <t>Reorder Style</t>
  </si>
  <si>
    <t>Inside an expanded order, the Owner can start a new stitching order for this customer with the old order's packaging and discount prefilled.</t>
  </si>
  <si>
    <t>client-only (wizard)</t>
  </si>
  <si>
    <t>frontend/src/App.jsx:5987-5990, 6212-6218</t>
  </si>
  <si>
    <t>CUS-028</t>
  </si>
  <si>
    <t>Request alteration on delivered order</t>
  </si>
  <si>
    <t>"Alteration" button on Delivered orders opens the Request Alteration modal. The expanded order also lists that order's existing alterations.</t>
  </si>
  <si>
    <t>Owner; Master; Admin workshop.alterations</t>
  </si>
  <si>
    <t>frontend/src/App.jsx:6173-6178, 6221-6240</t>
  </si>
  <si>
    <t>CUS-029</t>
  </si>
  <si>
    <t>Go with Existing Design</t>
  </si>
  <si>
    <t>Starts a stitching order for the customer with the latest design-preference notes prefilled. Hidden for leads.</t>
  </si>
  <si>
    <t>Owner; Admin orders.create</t>
  </si>
  <si>
    <t>frontend/src/App.jsx:5981-5986, 6014-6018</t>
  </si>
  <si>
    <t>CUS-030</t>
  </si>
  <si>
    <t>New order</t>
  </si>
  <si>
    <t>Opens the stitching order wizard with this customer pre-picked (customer form prefilled, including measurements).</t>
  </si>
  <si>
    <t>frontend/src/App.jsx:2889-2898, 2934-2961, 6019-6021</t>
  </si>
  <si>
    <t>CUS-031</t>
  </si>
  <si>
    <t>Style profile card</t>
  </si>
  <si>
    <t>Same Style DNA card as the list modal, shown in the right column.</t>
  </si>
  <si>
    <t>frontend/src/App.jsx:6245</t>
  </si>
  <si>
    <t>CUS-032</t>
  </si>
  <si>
    <t>Saved Designs &amp; Inspiration</t>
  </si>
  <si>
    <t>Lists design preferences with source label and notes. Reference photos are grouped by garment part ("Whole garment" when no part is given). Reference links open in a new tab. Approved preferences get a green border, an "Approved for production" badge and the approved image highlighted.</t>
  </si>
  <si>
    <t>GET /api/customers/{id}/ (design_preferences)</t>
  </si>
  <si>
    <t>frontend/src/App.jsx:6255-6312</t>
  </si>
  <si>
    <t>CUS-033</t>
  </si>
  <si>
    <t>Approve design for production</t>
  </si>
  <si>
    <t>"Approve for production" on an unapproved preference approves it with its first reference image and un-approves any other approved preference. The profile reloads afterwards. The approved image must be one of the preference's own images.</t>
  </si>
  <si>
    <t>Owner; Admin customers.edit (button shown to all viewers; server enforces)</t>
  </si>
  <si>
    <t>POST /api/customers/{id}/design-preferences/{prefId}/approve/</t>
  </si>
  <si>
    <t>frontend/src/App.jsx:3606-3620, 6267-6273; crm_api/views.py:274-300</t>
  </si>
  <si>
    <t>CUS-034</t>
  </si>
  <si>
    <t>Edit (detail toolbar)</t>
  </si>
  <si>
    <t>The Edit button opens the edit form on the full record. Hidden for leads.</t>
  </si>
  <si>
    <t>Owner; Admin customers.edit</t>
  </si>
  <si>
    <t>frontend/src/App.jsx:2971-2981, 6002-6006</t>
  </si>
  <si>
    <t>CUS-035</t>
  </si>
  <si>
    <t>Delete (detail toolbar / row)</t>
  </si>
  <si>
    <t>Asks "Delete {name}? Their measurements, appointments and saved designs are deleted too. This cannot be undone." The server refuses a customer with orders or alterations ("has N orders… cannot be deleted"). On success the detail closes and the list refreshes. Hidden for leads on the detail page.</t>
  </si>
  <si>
    <t>Owner; Admin customers.delete</t>
  </si>
  <si>
    <t>DELETE /api/customers/{id}/</t>
  </si>
  <si>
    <t>frontend/src/App.jsx:2982-2996, 6007-6011; crm_api/views.py:127-150</t>
  </si>
  <si>
    <t>CUS-036</t>
  </si>
  <si>
    <t>Referrals card</t>
  </si>
  <si>
    <t>View referrals</t>
  </si>
  <si>
    <t>Shows "Referred by {name}" (tap to open that customer; a referrer who has been deleted appears as plain text). Below, a numbered list of customers this one referred, each with mobile and note; tap a name to open that customer. The card subtitle reads "N customers referred". Has loading, error and empty ("No referrals yet") states.</t>
  </si>
  <si>
    <t>GET /api/customers/{id}/referrals/</t>
  </si>
  <si>
    <t>frontend/src/features/customers/CustomerReferrals.jsx:125-177; crm_api/views.py:198-209</t>
  </si>
  <si>
    <t>CUS-037</t>
  </si>
  <si>
    <t>Add referral</t>
  </si>
  <si>
    <t>Dialog fields: mobile (country picker) required; full name required unless the mobile matches an existing customer (then the name is disabled with the hint "Already a customer"); a warning if it is the referrer's own number; optional note. The server creates the referred customer or links an existing one. It refuses self-referral, a duplicate referral, or someone who already has a referrer. The result screen says "added as a customer" or "already a customer… referral recorded" (with a name-differs note). The book refreshes when a customer was created.</t>
  </si>
  <si>
    <t>POST /api/customers/{id}/referrals/</t>
  </si>
  <si>
    <t>frontend/src/features/customers/CustomerReferrals.jsx:23-123, 179-197; domains/customers/referrals.py:45-112</t>
  </si>
  <si>
    <t>CUS-038</t>
  </si>
  <si>
    <t>Add customer</t>
  </si>
  <si>
    <t>Add Customer chooser</t>
  </si>
  <si>
    <t>"Add Customer" opens a two-card chooser: "Upload Excel sheet" or "Enter manually". The back link returns to Customers.</t>
  </si>
  <si>
    <t>frontend/src/App.jsx:2963, 5660-5663, 5693; frontend/src/features/customers/AddCustomer.jsx:224-272</t>
  </si>
  <si>
    <t>CUS-039</t>
  </si>
  <si>
    <t>Download sample sheet</t>
  </si>
  <si>
    <t>Generates customers-sample.csv in the browser (UTF-8 BOM). Columns: mobile, full_name, email, gender, city, address, source, tier, date_of_birth, notes, referred_by_mobile, bust, waist, hips, shoulder, arm_length, neck, length. Includes 3 example rows, one showing a referral within the same sheet.</t>
  </si>
  <si>
    <t>frontend/src/features/customers/AddCustomer.jsx:199-222, 273-282</t>
  </si>
  <si>
    <t>CUS-040</t>
  </si>
  <si>
    <t>Excel import</t>
  </si>
  <si>
    <t>Upload and preview</t>
  </si>
  <si>
    <t>Accepts .xlsx or .csv, at most 2000 rows. A progress modal shows steps and elapsed seconds. The server only validates and returns valid rows (rows, name, mobile, New vs "Existing: blanks filled in", notes), errors per row, and ignored columns. Sheet rules: a mobile column is required (aliases phone/whatsapp/contact); full_name or first_name is required; rows sharing a mobile are merged (first row wins); an existing customer only gets blank fields filled, and a different name is noted as "Also known as"; measurement columns must be numbers (aliases chest→bust, hip→hips); gender, source and tier are matched case-insensitively.</t>
  </si>
  <si>
    <t>Owner; Master; Designer; Admin customers.import</t>
  </si>
  <si>
    <t>POST /api/customers/import/ (multipart file)</t>
  </si>
  <si>
    <t>frontend/src/features/customers/AddCustomer.jsx:154-193, 228-237; crm_api/views.py:175-196; domains/customers/services.py:26-333</t>
  </si>
  <si>
    <t>CUS-041</t>
  </si>
  <si>
    <t>Confirm and commit</t>
  </si>
  <si>
    <t>The dialog reads "N valid and M have errors. Import the N valid?" and lists error rows and valid rows. "Import N valid customers" re-sends the same file with commit=1 and saves everything in one transaction. The result shows created / updated / skipped counts, and Done returns to the list. The button is disabled when there are 0 valid rows.</t>
  </si>
  <si>
    <t>POST /api/customers/import/ (file + commit=1)</t>
  </si>
  <si>
    <t>frontend/src/features/customers/AddCustomer.jsx:94-148, 238-248, 286-288</t>
  </si>
  <si>
    <t>CUS-042</t>
  </si>
  <si>
    <t>Referrals via referred_by_mobile</t>
  </si>
  <si>
    <t>Only read when the Owner imports; for anyone else the column is listed as ignored. The referrer must already be a customer or be a row in the same sheet. Self-referral, an unknown referrer, or a customer who already has a referrer leaves a note and the row is still imported.</t>
  </si>
  <si>
    <t>POST /api/customers/import/</t>
  </si>
  <si>
    <t>domains/customers/services.py:169-234</t>
  </si>
  <si>
    <t>CUS-043</t>
  </si>
  <si>
    <t>Manual add form</t>
  </si>
  <si>
    <t>Profile section</t>
  </si>
  <si>
    <t>Fields: Full name (required; split into first name and the rest as last name), Mobile (country picker, required, validated per country), Gender (Female/Male/Other), Email (validated and cleaned on blur), City/Region, Address, Tier (Silver/Gold/Platinum, default Silver), Source (Walk In/Instagram/Referral/Website, default Walk In), Date of birth, Notes. Errors show inline, and Saving… disables the buttons.</t>
  </si>
  <si>
    <t>POST /api/customers/</t>
  </si>
  <si>
    <t>frontend/src/features/customers/AddCustomer.jsx:392-625, 453-496</t>
  </si>
  <si>
    <t>CUS-044</t>
  </si>
  <si>
    <t>Referred-by picker</t>
  </si>
  <si>
    <t>Shown only when Source=Referral on a new customer. Search existing customers by name or mobile (8 matches) and pick one, shown as a removable chip. Unknown people cannot be entered. Changing the source away from Referral clears it. Sent as referred_by; customer and referral are saved atomically.</t>
  </si>
  <si>
    <t>POST /api/customers/ {referred_by}</t>
  </si>
  <si>
    <t>frontend/src/features/customers/AddCustomer.jsx:329-386, 604, 616-619; crm_api/views.py:86-120</t>
  </si>
  <si>
    <t>CUS-045</t>
  </si>
  <si>
    <t>Measurement zones</t>
  </si>
  <si>
    <t>Four zone cards, each with a count of filled values: Core Body Baseline; Blouse, Kurti &amp; Tops; Lehenga, Skirt &amp; Gown; Pants, Salwar &amp; Trouser. The selected zone shows a "Used for:" garments banner and its fields. Inch inputs accept 0–120 in steps of 0.25; filled fields are highlighted. A badge shows "N values recorded". Core keys go on the measurement sheet; the rest go to additional_measurements.</t>
  </si>
  <si>
    <t>Owner; Admin customers.add/measurements</t>
  </si>
  <si>
    <t>POST /api/customers/ (measurements nested)</t>
  </si>
  <si>
    <t>frontend/src/features/customers/AddCustomer.jsx:33-72, 498-519, 627-762</t>
  </si>
  <si>
    <t>CUS-046</t>
  </si>
  <si>
    <t>Measurement search</t>
  </si>
  <si>
    <t>Search box over every measurement key, with a result count and a Clear button. Matching inputs appear in place of the zones.</t>
  </si>
  <si>
    <t>frontend/src/features/customers/AddCustomer.jsx:522-531, 648-688</t>
  </si>
  <si>
    <t>CUS-047</t>
  </si>
  <si>
    <t>Edit customer</t>
  </si>
  <si>
    <t>Edit form (changed fields only)</t>
  </si>
  <si>
    <t>Same form, titled "Edit customer"; the Referred-by picker is not shown. Only changed fields are PATCHed. The mobile is re-validated only if it changed. additional_measurements are merged so keys the form does not show survive. With no changes, Save just goes back. Afterwards the list and open profile reload.</t>
  </si>
  <si>
    <t>Owner; Admin customers.edit / customers.measurements</t>
  </si>
  <si>
    <t>PATCH /api/customers/{id}/</t>
  </si>
  <si>
    <t>frontend/src/features/customers/AddCustomer.jsx:388-437, 459-471; frontend/src/App.jsx:5642-5654</t>
  </si>
  <si>
    <t>CUS-048</t>
  </si>
  <si>
    <t>Customer validation</t>
  </si>
  <si>
    <t>Server-side customer rules</t>
  </si>
  <si>
    <t>Mobile: 10 national digits (stored with 91) or +international 11–15 digits; unique per boutique; an unchanged legacy number passes. First name validated; last name may be one letter. Gender must be Female/Male/Other; source must be Walk In/Instagram/Referral/Website; an unknown tier is saved as Silver. Email validated; notes and custom_requirements are length-capped; address ≤ 500.</t>
  </si>
  <si>
    <t>All writers</t>
  </si>
  <si>
    <t>POST/PATCH /api/customers/</t>
  </si>
  <si>
    <t>crm_api/serializers.py:603-686</t>
  </si>
  <si>
    <t>CUS-049</t>
  </si>
  <si>
    <t>Delete all</t>
  </si>
  <si>
    <t>Delete all customers</t>
  </si>
  <si>
    <t>A "Delete all" button (shown when the book is not empty) opens a dialog explaining that customers with orders or alterations are kept. Typing "DELETE ALL" enables the button. The result reads "N deleted, M kept". The server requires role Owner and body confirm="DELETE ALL"; an Admin is refused with 403.</t>
  </si>
  <si>
    <t>POST /api/customers/delete-all/ {confirm:"DELETE ALL"}</t>
  </si>
  <si>
    <t>frontend/src/features/customers/AddCustomer.jsx:777-829; frontend/src/App.jsx:5655-5659, 5686-5691; crm_api/views.py:152-173</t>
  </si>
  <si>
    <t>CUS-050</t>
  </si>
  <si>
    <t>Customer profile photo</t>
  </si>
  <si>
    <t>Profile photo upload (API only)</t>
  </si>
  <si>
    <t>The API accepts a profile_photo file on create (multipart) and strips string photo URLs on PATCH. No screen currently sets a customer photo; avatars show initials.</t>
  </si>
  <si>
    <t>POST /api/customers/ (multipart profile_photo)</t>
  </si>
  <si>
    <t>frontend/src/services/api.js:424-468</t>
  </si>
  <si>
    <t>CUS-051</t>
  </si>
  <si>
    <t>Customer helper APIs</t>
  </si>
  <si>
    <t>Design preferences / fabric / AI suggestions (API)</t>
  </si>
  <si>
    <t>Save a design preference (notes ≤ note limit, reference images, selected_urls, source from SOURCE_CHOICES, reference_links); save or replace a fabric selection (name ≤ 150, price, images); list catalogue designs and AI suggestion templates by the customer's garment_type; create an order directly. None of these is called by the current UI except through the order flows.</t>
  </si>
  <si>
    <t>POST /api/customers/{id}/design-preferences/; POST /api/customers/{id}/fabric-selections/; GET /api/customers/{id}/ai-suggestions/; GET /api/customers/{id}/boutique-designs/; POST /api/customers/{id}/create-order/</t>
  </si>
  <si>
    <t>frontend/src/services/api.js:530-646; crm_api/views.py:229-365</t>
  </si>
  <si>
    <t>CUS-052</t>
  </si>
  <si>
    <t>Order wizard</t>
  </si>
  <si>
    <t>Customer match by mobile / auto-create</t>
  </si>
  <si>
    <t>In the order wizard's customer step, typing 3+ digits suggests up to 5 customers whose mobile contains those digits. A typed new customer is created, or matched by the last 10 digits, when needed.</t>
  </si>
  <si>
    <t>frontend/src/App.jsx:2903-2916, 3011-3019</t>
  </si>
  <si>
    <t>LEAD-001</t>
  </si>
  <si>
    <t>Leads</t>
  </si>
  <si>
    <t>Leads list</t>
  </si>
  <si>
    <t>Mark as contacted</t>
  </si>
  <si>
    <t>A check icon on lead rows (Leads tab only). It PATCHes is_lead=false, which moves the lead to Customers, then refreshes.</t>
  </si>
  <si>
    <t>Owner; Admin customers.leads / customers.edit</t>
  </si>
  <si>
    <t>PATCH /api/customers/{id}/ {is_lead:false}</t>
  </si>
  <si>
    <t>frontend/src/App.jsx:2997-3008, 5877-5884; core/admin_access.py:58-59</t>
  </si>
  <si>
    <t>LEAD-002</t>
  </si>
  <si>
    <t>Lead detail</t>
  </si>
  <si>
    <t>New order from lead</t>
  </si>
  <si>
    <t>A lead's profile shows only the "New order" button; Edit, Delete and Go with Existing Design are hidden. The button opens the stitching order wizard with the lead pre-selected. Once an order exists the lead becomes a customer.</t>
  </si>
  <si>
    <t>client-only (wizard → POST /api/order-drafts/...)</t>
  </si>
  <si>
    <t>frontend/src/App.jsx:3009, 6001-6022</t>
  </si>
  <si>
    <t>LEAD-003</t>
  </si>
  <si>
    <t>Lead source</t>
  </si>
  <si>
    <t>Leads created by customer portal</t>
  </si>
  <si>
    <t>A portal sign-up creates a customer with source=Website and is_lead=true.</t>
  </si>
  <si>
    <t>Customer (Public portal)</t>
  </si>
  <si>
    <t>POST /intake/customer/</t>
  </si>
  <si>
    <t>crm_api/portal_views.py:491-496</t>
  </si>
  <si>
    <t>DES-001</t>
  </si>
  <si>
    <t>Design Studio</t>
  </si>
  <si>
    <t>Sidebar / landing</t>
  </si>
  <si>
    <t>Designs tab entry</t>
  </si>
  <si>
    <t>The tab is "Manage Designs" for Owner and Master and "Design Studio" for Designer. A Designer lands on Designs → Design Work ("My Work") after login.</t>
  </si>
  <si>
    <t>Owner; Master; Designer</t>
  </si>
  <si>
    <t>frontend/src/App.jsx:1458, 1478, 1485, 1746, 2405-2406</t>
  </si>
  <si>
    <t>DES-002</t>
  </si>
  <si>
    <t>Designs page</t>
  </si>
  <si>
    <t>Header Add New Design</t>
  </si>
  <si>
    <t>The page header button "Add New Design" opens the multi-photo Upload a Design modal. After saving, the page switches to the library, refreshes it and reloads the dashboard.</t>
  </si>
  <si>
    <t>POST /api/design-studio/assets/</t>
  </si>
  <si>
    <t>frontend/src/App.jsx:4814-4835</t>
  </si>
  <si>
    <t>DES-003</t>
  </si>
  <si>
    <t>Sub-tabs</t>
  </si>
  <si>
    <t>Overview (dashboard), Boutique designs (library), and Design Work, labelled "My work" for a Designer.</t>
  </si>
  <si>
    <t>frontend/src/App.jsx:4841-4897</t>
  </si>
  <si>
    <t>DES-004</t>
  </si>
  <si>
    <t>Design dashboard</t>
  </si>
  <si>
    <t>KPI cards</t>
  </si>
  <si>
    <t>Total Designs (sub-line: recent uploads count), Designers (active), Collections (active), Pending Approval (rose when &gt; 0; tapping opens the library). Load error shows Retry.</t>
  </si>
  <si>
    <t>Owner; Master; Designer; Tailor &amp; production roles (read)</t>
  </si>
  <si>
    <t>GET /api/design-studio/dashboard/</t>
  </si>
  <si>
    <t>frontend/src/features/designStudio/DesignDashboard.jsx:241-278; apps/design_studio/views.py:453-477</t>
  </si>
  <si>
    <t>DES-005</t>
  </si>
  <si>
    <t>Recently added strip</t>
  </si>
  <si>
    <t>Grid of the 8 newest designs: image, title, garment or designer, added date. The action opens the library.</t>
  </si>
  <si>
    <t>frontend/src/features/designStudio/DesignDashboard.jsx:13-55, 281-282</t>
  </si>
  <si>
    <t>DES-006</t>
  </si>
  <si>
    <t>Categories panel</t>
  </si>
  <si>
    <t>Up to 6 garment categories with design counts. Tapping one, or "Manage", opens the library.</t>
  </si>
  <si>
    <t>GET /api/design-studio/categories/</t>
  </si>
  <si>
    <t>frontend/src/features/designStudio/DesignDashboard.jsx:58-85</t>
  </si>
  <si>
    <t>DES-007</t>
  </si>
  <si>
    <t>Most viewed / Most ordered / Trending</t>
  </si>
  <si>
    <t>Ranked top-5 lists (rank badge, title, garment, views or orders count, thumbnail): most viewed, most ordered, and trending this week (most viewed among active designs updated in the last 7 days).</t>
  </si>
  <si>
    <t>frontend/src/features/designStudio/DesignDashboard.jsx:285-292</t>
  </si>
  <si>
    <t>DES-008</t>
  </si>
  <si>
    <t>Designer roster: add designer</t>
  </si>
  <si>
    <t>Inline form: Designer name (required) and optional email, then "Add designer". This creates a credit-only designer and their attendance roster row.</t>
  </si>
  <si>
    <t>POST /api/design-studio/designers/</t>
  </si>
  <si>
    <t>frontend/src/features/designStudio/DesignDashboard.jsx:87-123, 156-173; apps/design_studio/views.py:854-860</t>
  </si>
  <si>
    <t>DES-009</t>
  </si>
  <si>
    <t>Designer roster list</t>
  </si>
  <si>
    <t>Each designer shows name, design count, and either "Has a login" or an email box with "Grant login". Has loading, empty and error-with-Retry states.</t>
  </si>
  <si>
    <t>GET /api/design-studio/designers/</t>
  </si>
  <si>
    <t>frontend/src/features/designStudio/DesignDashboard.jsx:175-212</t>
  </si>
  <si>
    <t>DES-010</t>
  </si>
  <si>
    <t>Grant designer login</t>
  </si>
  <si>
    <t>The email is required. The server refuses the owner's email, an email belonging to a staff member or another designer, and a designer who already has a login. A fresh password is issued, and an orphaned login is re-issued. The password is shown once in a banner with a Close button.</t>
  </si>
  <si>
    <t>POST /api/design-studio/designers/{id}/create-login/ {email}</t>
  </si>
  <si>
    <t>frontend/src/features/designStudio/DesignDashboard.jsx:125-141, 214-236; apps/design_studio/views.py:872-938</t>
  </si>
  <si>
    <t>DES-011</t>
  </si>
  <si>
    <t>Staff screen (designers)</t>
  </si>
  <si>
    <t>Designer profile create/edit</t>
  </si>
  <si>
    <t>The Staff screen's add/edit form for a Designer sends name, phone, email, specialisation and an optional photo (uploaded first). If an email is given and there is no login, one is created automatically.</t>
  </si>
  <si>
    <t>POST/PATCH /api/design-studio/designers/{id}/; POST /api/boutique-designs/upload-image/; POST /api/design-studio/designers/{id}/create-login/</t>
  </si>
  <si>
    <t>frontend/src/features/staff/StaffPanel.jsx:373-391</t>
  </si>
  <si>
    <t>DES-012</t>
  </si>
  <si>
    <t>Reset designer password</t>
  </si>
  <si>
    <t>Issues a new password, shown once. Refused if the designer has no login or the login is the owner's account.</t>
  </si>
  <si>
    <t>POST /api/design-studio/designers/{id}/reset-password/</t>
  </si>
  <si>
    <t>frontend/src/features/staff/StaffPanel.jsx:743; apps/design_studio/views.py:940-949</t>
  </si>
  <si>
    <t>DES-013</t>
  </si>
  <si>
    <t>Delete designer</t>
  </si>
  <si>
    <t>A confirm dialog, then delete. The designer's login is deleted too unless it is the owner's or a roster member's. Credited designs keep their rows.</t>
  </si>
  <si>
    <t>DELETE /api/design-studio/designers/{id}/</t>
  </si>
  <si>
    <t>frontend/src/features/staff/StaffPanel.jsx:1410-1425; apps/design_studio/views.py:835-852</t>
  </si>
  <si>
    <t>DES-014</t>
  </si>
  <si>
    <t>Designers API</t>
  </si>
  <si>
    <t>Designer portfolio / filters (API)</t>
  </si>
  <si>
    <t>The designer list supports ?active=true and ?search=. The portfolio returns the designer, their designs and stats (views, orders, active, pending, collections, most viewed). No screen calls the portfolio yet.</t>
  </si>
  <si>
    <t>Owner; Master; Designer (read)</t>
  </si>
  <si>
    <t>GET /api/design-studio/designers/?active=&amp;search=; GET /api/design-studio/designers/{id}/portfolio/</t>
  </si>
  <si>
    <t>apps/design_studio/views.py:862-972; frontend/src/services/api.js:1545-1549</t>
  </si>
  <si>
    <t>DES-015</t>
  </si>
  <si>
    <t>Design library</t>
  </si>
  <si>
    <t>Category overview</t>
  </si>
  <si>
    <t>Stats: Total Designs, Categories, Uncategorised (tap to open designs with no garment), and "Awaiting review" (Owner only; rose when &gt; 0; tap opens the pending queue). Below is a grid of garment categories with counts; empty ones are dimmed. "Upload design" is available here.</t>
  </si>
  <si>
    <t>GET /api/design-studio/categories/; GET /api/design-studio/assets/?status=PENDING</t>
  </si>
  <si>
    <t>frontend/src/features/designStudio/DesignLibrary.jsx:305-444; apps/design_studio/views.py:796-821</t>
  </si>
  <si>
    <t>DES-016</t>
  </si>
  <si>
    <t>Open category</t>
  </si>
  <si>
    <t>"All categories" back button, category title, "N shown" count and "Upload design" (prefilled with this garment and catalogue position). Lists active and other designs for template=key ('none' for uncategorised).</t>
  </si>
  <si>
    <t>GET /api/design-studio/assets/?template={key|none}</t>
  </si>
  <si>
    <t>frontend/src/features/designStudio/DesignLibrary.jsx:354-371, 446-461; apps/design_studio/views.py:268-314</t>
  </si>
  <si>
    <t>DES-017</t>
  </si>
  <si>
    <t>Garment part tabs</t>
  </si>
  <si>
    <t>The garment template's design parts (e.g. pallu, border), plus an "All Designs" tab. A part tab shows photographs of that part across active designs (up to 120) with title, designer and caption; tapping one opens the source design. Empty state: "No designs available for this part yet".</t>
  </si>
  <si>
    <t>GET /api/catalog/templates/{key}/; GET /api/design-studio/part-images/?garment_key=&amp;part=</t>
  </si>
  <si>
    <t>frontend/src/features/designStudio/GarmentPartTabs.jsx:194-301; frontend/src/features/designStudio/DesignLibrary.jsx:335-348, 465-467; apps/design_studio/views.py:480-554</t>
  </si>
  <si>
    <t>DES-018</t>
  </si>
  <si>
    <t>Catalogue tree browser</t>
  </si>
  <si>
    <t>For garments that have a design catalogue: chip rows for Category, then Section (subcategory), then Design option, with a breadcrumb path. Tapping the selected option again clears it. Filters the list by catalogue_category/subcategory/option.</t>
  </si>
  <si>
    <t>GET /api/design-studio/catalogue/?garment=; GET /api/design-studio/assets/?catalogue_category=&amp;catalogue_subcategory=&amp;catalogue_option=</t>
  </si>
  <si>
    <t>frontend/src/features/designStudio/DesignCatalogueBrowser.jsx:56-123; frontend/src/features/designStudio/designCatalogue.js:15-54; apps/design_studio/views.py:777-793</t>
  </si>
  <si>
    <t>DES-019</t>
  </si>
  <si>
    <t>Library filters</t>
  </si>
  <si>
    <t>Search (title), Designer (with counts), Collection (with counts), Occasion (wedding/reception/festive/party/daily), Sleeve (sleeveless/cap/short/elbow/3-4/full), Part, Status (Active/Pending approval/Draft/Archived), Sort (Newest/Oldest/Most viewed/Most ordered/Name), Price min–max. Unknown keys are matched against spec_tags. Empty state: "No designs match these filters."</t>
  </si>
  <si>
    <t>GET /api/design-studio/assets/?search=&amp;designer=&amp;collection=&amp;occasion=&amp;sleeve_length=&amp;part=&amp;status=&amp;ordering=&amp;price_min=&amp;price_max=; GET /api/design-studio/designers/?active=true; GET /api/design-studio/collections/?active=true</t>
  </si>
  <si>
    <t>frontend/src/features/designStudio/DesignLibrary.jsx:42-104, 326-329; apps/design_studio/views.py:239-314, 435-450</t>
  </si>
  <si>
    <t>DES-020</t>
  </si>
  <si>
    <t>Design card</t>
  </si>
  <si>
    <t>Cover image, status badge (ACTIVE/PENDING/DRAFT/ARCHIVED), title, designer (or "Unattributed"), date, views, orders and price. Shows "In your inventory" when stocked.</t>
  </si>
  <si>
    <t>frontend/src/features/designStudio/DesignLibrary.jsx:491-547</t>
  </si>
  <si>
    <t>DES-021</t>
  </si>
  <si>
    <t>Add design to inventory</t>
  </si>
  <si>
    <t>"Add to inventory" on a card opens the inventory item form prefilled (name, category DESIGN, unit PIECE, sub-category garment, selling price, image, design_asset link).</t>
  </si>
  <si>
    <t>POST /api/inventory/items/ (via ItemFormModal)</t>
  </si>
  <si>
    <t>frontend/src/features/designStudio/DesignLibrary.jsx:28-37, 535-555</t>
  </si>
  <si>
    <t>DES-022</t>
  </si>
  <si>
    <t>Design detail</t>
  </si>
  <si>
    <t>View design detail</t>
  </si>
  <si>
    <t>Modal: title, designer, added date, cover image, fields (garment, occasion, price, status, source, catalogue path, difficulty, stitch time, views, orders, spec tags), description, and photos grouped by part with counts. Opening it increments view_count.</t>
  </si>
  <si>
    <t>GET /api/design-studio/assets/{id}/</t>
  </si>
  <si>
    <t>frontend/src/features/designStudio/DesignLibrary.jsx:106-226, 351-352; apps/design_studio/views.py:387-390</t>
  </si>
  <si>
    <t>DES-023</t>
  </si>
  <si>
    <t>Approval queue</t>
  </si>
  <si>
    <t>Review pending design</t>
  </si>
  <si>
    <t>Applies when the boutique requires design approval (design_approval_required): uploads by anyone other than the Owner arrive as PENDING. The Owner opens a pending design and adds an optional voice-capable note; buttons: Approve (→ ACTIVE, approved_by and approved_at recorded), Request changes (note required; stays PENDING), Reject (→ ARCHIVED). The queue and counts refresh after each decision.</t>
  </si>
  <si>
    <t>POST /api/design-studio/assets/{id}/review/ {decision:APPROVED|CHANGES_REQUESTED|REJECTED, note}</t>
  </si>
  <si>
    <t>frontend/src/features/designStudio/DesignLibrary.jsx:132-146, 228-251, 373-380; apps/design_studio/views.py:338-341, 399-426</t>
  </si>
  <si>
    <t>DES-024</t>
  </si>
  <si>
    <t>Review history</t>
  </si>
  <si>
    <t>The detail modal lists past decisions: decision, reviewer, date and note.</t>
  </si>
  <si>
    <t>GET /api/design-studio/assets/{id}/approval-history/</t>
  </si>
  <si>
    <t>frontend/src/features/designStudio/DesignLibrary.jsx:124-130, 253-267</t>
  </si>
  <si>
    <t>DES-025</t>
  </si>
  <si>
    <t>Approval-required setting</t>
  </si>
  <si>
    <t>A Settings checkbox, "design approval required", turns the queue on for non-Owner uploads.</t>
  </si>
  <si>
    <t>POST /api/boutique-settings/ (design_approval_required)</t>
  </si>
  <si>
    <t>frontend/src/App.jsx:3425, 6900</t>
  </si>
  <si>
    <t>DES-026</t>
  </si>
  <si>
    <t>Upload a Design</t>
  </si>
  <si>
    <t>Upload form</t>
  </si>
  <si>
    <t>Fields: Garment (template, or Uncategorised); Design Name (required, max 200); photographs filed per part, chosen from a "Selected Part" dropdown, added by drag and drop, multi-file picker or camera, with removable tiles and the first as cover (JPG/PNG up to 5MB each); Price; Stitch time (≤ 1000 h); Reference URL and Video (http/https, ≤ 500); Description (with counter); garment style tags from the template's style section. Changing the garment moves all photos to "overall". "Add to library" shows Uploading… while saving.</t>
  </si>
  <si>
    <t>Owner; Master; Designer; Tailor &amp; production roles (any staff role may create)</t>
  </si>
  <si>
    <t>GET /api/catalog/templates/; GET /api/catalog/templates/{key}/; POST /api/design-studio/assets/ (multipart images[] + image_parts[])</t>
  </si>
  <si>
    <t>frontend/src/features/designStudio/DesignUpload.jsx:28-332; apps/design_studio/views.py:316-382; apps/design_studio/permissions.py (DesignLibraryPermission)</t>
  </si>
  <si>
    <t>DES-027</t>
  </si>
  <si>
    <t>Upload status rule</t>
  </si>
  <si>
    <t>A new asset is ACTIVE when the uploader is the Owner or approval is off; otherwise PENDING. The uploader's designer profile is credited by default. One image row is created per file under its part.</t>
  </si>
  <si>
    <t>All staff</t>
  </si>
  <si>
    <t>apps/design_studio/views.py:335-371</t>
  </si>
  <si>
    <t>DES-028</t>
  </si>
  <si>
    <t>Collections</t>
  </si>
  <si>
    <t>Collections (API)</t>
  </si>
  <si>
    <t>List collections (filter by designer, active) and create one ({designer, name}). The upload form contains code for inline collection creation, but the current form does not show it.</t>
  </si>
  <si>
    <t>Owner (create); All staff (read)</t>
  </si>
  <si>
    <t>GET/POST /api/design-studio/collections/</t>
  </si>
  <si>
    <t>frontend/src/features/designStudio/DesignUpload.jsx:62-66, 129-145; apps/design_studio/views.py:435-450</t>
  </si>
  <si>
    <t>DES-029</t>
  </si>
  <si>
    <t>Edit design (legacy modal)</t>
  </si>
  <si>
    <t>Edit Design Details</t>
  </si>
  <si>
    <t>The Edit button on a catalogue or suggestion design that is not pending opens a modal. Fields: Design Name (required); Garment Category (21 options: women's and men's wear); Design Type (Boutique Catalog Collection / AI Suggestion Template); catalogue position picker (category › section › option); Neckline and Sleeve (optional); Catalog Price (₹, disabled for suggestion templates); Upload Image (file or camera); Image URL (≤ 255 characters, http/https or a catalogue file name); Description. The price is validated. When there is no image a placeholder image is used.</t>
  </si>
  <si>
    <t>PATCH /api/boutique-designs/{id}/; POST /api/boutique-designs/upload-image/</t>
  </si>
  <si>
    <t>frontend/src/App.jsx:2723-2767, 4870-4894, 7105-7270; frontend/src/features/designStudio/DesignCataloguePicker.jsx:18-65; crm_api/views.py:609-629</t>
  </si>
  <si>
    <t>DES-030</t>
  </si>
  <si>
    <t>Delete design</t>
  </si>
  <si>
    <t>The Delete button on a catalogue or suggestion design asks "Are you sure you want to delete this design?" and then deletes it. The library and dashboard refresh.</t>
  </si>
  <si>
    <t>DELETE /api/boutique-designs/{id}/</t>
  </si>
  <si>
    <t>frontend/src/App.jsx:2769-2779; frontend/src/features/designStudio/DesignLibrary.jsx:269-276</t>
  </si>
  <si>
    <t>DES-031</t>
  </si>
  <si>
    <t>Design assets API</t>
  </si>
  <si>
    <t>Favourite toggle (API)</t>
  </si>
  <si>
    <t>Toggles is_favourite. No screen uses it yet; the library list supports ?favourite=true.</t>
  </si>
  <si>
    <t>POST /api/design-studio/assets/{id}/favourite/</t>
  </si>
  <si>
    <t>apps/design_studio/views.py:392-397</t>
  </si>
  <si>
    <t>DES-032</t>
  </si>
  <si>
    <t>Design Work</t>
  </si>
  <si>
    <t>Only-open toggle</t>
  </si>
  <si>
    <t>The "Only work still open" checkbox (default on) filters to open assignment statuses.</t>
  </si>
  <si>
    <t>GET /api/design-studio/assignments/?open=1</t>
  </si>
  <si>
    <t>frontend/src/features/designStudio/DesignWork.jsx:371-387, 418-422; apps/design_studio/views.py:1101-1119</t>
  </si>
  <si>
    <t>DES-033</t>
  </si>
  <si>
    <t>Assign design work</t>
  </si>
  <si>
    <t>Owner panel: Garment (required; every garment job across orders, labelled "order ref · garment"), Designer (required), Due date (today or later; validated), optional Brief (voice input, with counter). "Assign Work" and Reset buttons.</t>
  </si>
  <si>
    <t>GET /api/orders/; GET /api/design-studio/designers/; POST /api/design-studio/assignments/ {garment_job, designer, brief, due_date}</t>
  </si>
  <si>
    <t>frontend/src/features/designStudio/DesignWork.jsx:48-127, 389-393, 431-434; apps/design_studio/views.py:1126-1182</t>
  </si>
  <si>
    <t>DES-034</t>
  </si>
  <si>
    <t>Reassign design work</t>
  </si>
  <si>
    <t>Assigning a garment that already has an assignment reassigns it (200): the designer changes, the status resets to ASSIGNED and the previous submission is cleared. An approved garment is refused with 409 ("Request changes on it before reassigning"). A Designer may only hand on their own garment.</t>
  </si>
  <si>
    <t>Owner; Designer (own work)</t>
  </si>
  <si>
    <t>POST /api/design-studio/assignments/</t>
  </si>
  <si>
    <t>apps/design_studio/views.py:1137-1172</t>
  </si>
  <si>
    <t>DES-035</t>
  </si>
  <si>
    <t>Supervisor assignment table</t>
  </si>
  <si>
    <t>Searchable by garment, designer, customer or order. Shows "N of M". Columns: Order #, Garment (thumbnail and customer), Designer (avatar), Due Date, Status pill (Assigned / Awaiting review / Approved / Changes requested), Notes. Tapping a row expands its detail.</t>
  </si>
  <si>
    <t>Owner; Master</t>
  </si>
  <si>
    <t>GET /api/design-studio/assignments/</t>
  </si>
  <si>
    <t>frontend/src/features/designStudio/DesignWork.jsx:15-38, 438-526</t>
  </si>
  <si>
    <t>DES-036</t>
  </si>
  <si>
    <t>Review submitted design</t>
  </si>
  <si>
    <t>For a SUBMITTED assignment: optional note, then Approve or Request changes (a note is required for changes, on both client and server). Approving makes the design the order board's selected design and approves the board, so tailors receive the brief.</t>
  </si>
  <si>
    <t>POST /api/design-studio/assignments/{id}/review/ {decision:"approve"|"changes", note}</t>
  </si>
  <si>
    <t>frontend/src/features/designStudio/DesignWork.jsx:250-263, 337-353; apps/design_studio/views.py:1231-1303</t>
  </si>
  <si>
    <t>DES-037</t>
  </si>
  <si>
    <t>Design Work (designer)</t>
  </si>
  <si>
    <t>My desk cards</t>
  </si>
  <si>
    <t>The Designer sees only their own assignments as cards: garment, order ref, due date, status, brief, spec and measurement chips (customer details hidden), and the review note when changes were requested. Empty state: "Nothing on your desk right now."</t>
  </si>
  <si>
    <t>GET /api/design-studio/assignments/ (DesignerAssignmentSerializer)</t>
  </si>
  <si>
    <t>frontend/src/features/designStudio/DesignWork.jsx:244-335, 527-540; apps/design_studio/permissions.py (visible_assignments)</t>
  </si>
  <si>
    <t>DES-038</t>
  </si>
  <si>
    <t>Submit design</t>
  </si>
  <si>
    <t>When the status is ASSIGNED, CHANGES_REQUESTED or SUBMITTED: choose one of your library designs and add an optional note, then "Submit design". The server requires a design the Designer uploaded or is credited on, and refuses if already approved. If no designs exist the card says to upload one first.</t>
  </si>
  <si>
    <t>Designer; Owner</t>
  </si>
  <si>
    <t>GET /api/design-studio/assets/?designer={id}; POST /api/design-studio/assignments/{id}/submit/ {design, note}</t>
  </si>
  <si>
    <t>frontend/src/features/designStudio/DesignWork.jsx:130-179, 395-401; apps/design_studio/views.py:1184-1229</t>
  </si>
  <si>
    <t>DES-039</t>
  </si>
  <si>
    <t>Hand over to workshop</t>
  </si>
  <si>
    <t>On an APPROVED assignment the Designer picks a Master in charge and/or a Worker (from the staff they may assign) and taps "Hand over to workshop". On success it shows "Handed over".</t>
  </si>
  <si>
    <t>GET /api/orders/assignable-staff/; POST /api/orders/{id}/send-to-workshop/ {master, tailor}</t>
  </si>
  <si>
    <t>frontend/src/features/designStudio/DesignWork.jsx:184-242, 355-357</t>
  </si>
  <si>
    <t>DES-040</t>
  </si>
  <si>
    <t>Customer designs</t>
  </si>
  <si>
    <t>Customized Designs sheet</t>
  </si>
  <si>
    <t>In the order wizard's design step, the "Customized Designs" card opens a sheet listing designs captured for the current customer, filtered to this garment (cards: image, title, customer, garment, Drawn/Uploaded badge, "In boutique designs" badge, View). Has loading, error-with-Retry and empty states.</t>
  </si>
  <si>
    <t>frontend/src/App.jsx:7962-7978, 8095-8120; frontend/src/features/designStudio/CustomerDesigns.jsx:472-618</t>
  </si>
  <si>
    <t>DES-041</t>
  </si>
  <si>
    <t>Upload customer sketch</t>
  </si>
  <si>
    <t>Form: Design name (required, max 200), Customer (required; can be "New: … will be created" for the customer typed in the wizard), Garment (optional), Order (optional; that customer's orders), photo (drop zone or camera; image validated), Notes (voice), and "Also add to boutique designs" (on by default).</t>
  </si>
  <si>
    <t>POST /api/design-studio/customer-designs/ (multipart image, source=uploaded, add_to_library); POST /api/customers/ (if new)</t>
  </si>
  <si>
    <t>frontend/src/features/designStudio/CustomerDesigns.jsx:246-421; apps/design_studio/views.py:1306-1371</t>
  </si>
  <si>
    <t>DES-042</t>
  </si>
  <si>
    <t>Draw customer design (sketch pad)</t>
  </si>
  <si>
    <t>Canvas drawing at a fixed 1000x700 resolution: 5 ink colours, 3 pen sizes, eraser, undo/redo/clear; works with pointer, touch or stylus. Saved as a PNG with source=drawn. The client refuses an empty drawing.</t>
  </si>
  <si>
    <t>POST /api/design-studio/customer-designs/ (source=drawn)</t>
  </si>
  <si>
    <t>frontend/src/features/designStudio/CustomerDesigns.jsx:68-241, 283, 292</t>
  </si>
  <si>
    <t>DES-043</t>
  </si>
  <si>
    <t>Add to library copy</t>
  </si>
  <si>
    <t>With "add_to_library", the server also creates a catalogue DesignAsset (status ACTIVE, or PENDING when approval is required and the uploader is not the Owner) with the image as its overall part.</t>
  </si>
  <si>
    <t>POST /api/design-studio/customer-designs/</t>
  </si>
  <si>
    <t>apps/design_studio/views.py:1347-1370</t>
  </si>
  <si>
    <t>DES-044</t>
  </si>
  <si>
    <t>Preview modal: large image, Design, Customer, Garment, Order, Source, whether it is in boutique designs, captured date, and notes.</t>
  </si>
  <si>
    <t>GET /api/design-studio/customer-designs/</t>
  </si>
  <si>
    <t>frontend/src/features/designStudio/CustomerDesigns.jsx:426-467</t>
  </si>
  <si>
    <t>DES-045</t>
  </si>
  <si>
    <t>Design discovery (order wizard)</t>
  </si>
  <si>
    <t>Boutique catalogue picker</t>
  </si>
  <si>
    <t>The order wizard's "Boutique designs" sheet loads ACTIVE designs for the garment plus uncategorised ones. It offers a catalogue category/section/option filter, a ranked keyword search across title, description, catalogue, garment, neckline, sleeve, designer and part captions, picking a whole design or individual parts (from different designs), and a lightbox viewer.</t>
  </si>
  <si>
    <t>GET /api/design-studio/assets/?template={key}&amp;status=ACTIVE; GET /api/design-studio/assets/?template=none&amp;status=ACTIVE; GET /api/catalog/templates/{key}/</t>
  </si>
  <si>
    <t>frontend/src/features/designStudio/GarmentPartPicker.jsx:480-592, 828-873, 905-925; frontend/src/App.jsx:7919, 8046</t>
  </si>
  <si>
    <t>DES-046</t>
  </si>
  <si>
    <t>Customer references per part</t>
  </si>
  <si>
    <t>The "references" sheet (ownOnly) offers per-part reference photos: upload (stored immediately and returned as a URL), live camera capture (getUserMedia, falling back to a file input), and pasted links (https added if missing, duplicates ignored).</t>
  </si>
  <si>
    <t>frontend/src/features/designStudio/GarmentPartPicker.jsx:709-821, 992-1030; frontend/src/App.jsx:7941, 8075; apps/design_studio/views.py:557-588</t>
  </si>
  <si>
    <t>DES-047</t>
  </si>
  <si>
    <t>Web design search</t>
  </si>
  <si>
    <t>Shown only when the vendor is configured. Toggle the web search, type words, then search on Enter or the button. Results are found for the garment and part, with an interpreted-area note and a cached flag. "Keep" copies the picture into storage and adds it as a reference. Errors show inline.</t>
  </si>
  <si>
    <t>GET /api/design-studio/web-search/; POST /api/design-studio/web-search/ {garment_key, part_key, part_label, keywords}; POST /api/design-studio/web-keep/ {image_url, title}</t>
  </si>
  <si>
    <t>frontend/src/features/designStudio/GarmentPartPicker.jsx:661-673, 723-764, 1006-1075; apps/design_studio/views.py:591-658</t>
  </si>
  <si>
    <t>DES-048</t>
  </si>
  <si>
    <t>AI garment preview</t>
  </si>
  <si>
    <t>"See it on a model" renders the assembled garment. Options: views (front and back, front only, back only); presentation (model, or flat for plain garments); model gender; on the customer's own photo with consent; worn-with colour; keep or recolour motifs; coverage (full or follow the reference). Takes 30–95 s with a Stop button.</t>
  </si>
  <si>
    <t>GET /api/design-studio/preview/; POST /api/design-studio/preview/; POST /api/design-studio/preview/cancel/ {clientId}</t>
  </si>
  <si>
    <t>frontend/src/features/designStudio/GarmentPreview.jsx:198-246, 263-503; frontend/src/App.jsx:8506, 8793; apps/design_studio/views.py:684-774</t>
  </si>
  <si>
    <t>DES-049</t>
  </si>
  <si>
    <t>Design context / personalisation</t>
  </si>
  <si>
    <t>Design context and AI discovery (API)</t>
  </si>
  <si>
    <t>Builds a personalisation context from a customer or an order draft (plus garment_key, occasion, budget, timeline) and suggests search queries and source status. Discovery returns ranked candidates (cached 5 min). Owner only. The only UI calling them (DesignStudio.jsx) is not mounted.</t>
  </si>
  <si>
    <t>GET /api/design-studio/context/?customer_id=|draft_id=&amp;garment_key=; POST /api/design-studio/discover/</t>
  </si>
  <si>
    <t>apps/design_studio/views.py:141-230; frontend/src/services/api.js:1275-1297</t>
  </si>
  <si>
    <t>DES-050</t>
  </si>
  <si>
    <t>Design boards</t>
  </si>
  <si>
    <t>Design boards (API; UI not mounted)</t>
  </si>
  <si>
    <t>Per-customer board: create; list (filter by customer_id or order_id); shortlist candidates as items; remove an item; select the final item; customise (attributes, customer_notes, tailor_instructions); approve the board; save to an order; and a Master production note on an approved board. Visibility: Owner sees all, Master sees non-draft boards, tailors see approved boards as a read-only brief. DesignStudio.jsx implements this flow but is imported nowhere.</t>
  </si>
  <si>
    <t>Owner (write); Master (production notes); Tailor &amp; production roles (read approved)</t>
  </si>
  <si>
    <t>POST/GET /api/design-studio/boards/; POST /api/design-studio/boards/{id}/items/; DELETE /api/design-studio/boards/{id}/items/{item}/; POST .../items/{item}/select/; PATCH .../items/{item}/customise/; PATCH .../items/{item}/production-notes/; POST /api/design-studio/boards/{id}/approve/; POST /api/design-studio/boards/{id}/save-to-order/</t>
  </si>
  <si>
    <t>frontend/src/features/designStudio/DesignStudio.jsx:133-320; apps/design_studio/views.py:975-1094; apps/design_studio/permissions.py (visible_boards)</t>
  </si>
  <si>
    <t>DES-051</t>
  </si>
  <si>
    <t>Design studio permissions</t>
  </si>
  <si>
    <t>Role rules summary</t>
  </si>
  <si>
    <t>DesignStudioPermission: Owner has full access; other roles are read-only except a Master's production notes. DesignLibraryPermission: any staff role may upload, and a Designer may edit or delete their own uploads on /assets/. DesignAssignmentPermission: Owner has all; Master everything except create, update and delete; Designer list, retrieve, submit and create (hand on own work). Discovery and context are Owner-only. The module is on by default for every role.</t>
  </si>
  <si>
    <t>/api/design-studio/*</t>
  </si>
  <si>
    <t>apps/design_studio/permissions.py; core/modules.py:477-491</t>
  </si>
  <si>
    <t>WORK-001</t>
  </si>
  <si>
    <t>Work Queues (My work / Check / Done)</t>
  </si>
  <si>
    <t>Navigation</t>
  </si>
  <si>
    <t>Work queue tabs per role</t>
  </si>
  <si>
    <t>Master: My work, To check, Done (+Designs, My attendance, To-do). Designer: My work, Design studio, Production (workshop), To check. Production roles: My work, Done. All are phone-bar items. Production staff land on My work after login; Designer lands on design requests</t>
  </si>
  <si>
    <t>Master/Designer/Tailor &amp; production roles</t>
  </si>
  <si>
    <t>frontend/src/App.jsx:1473-1498,2405-2410,2796-2799,4371-4381</t>
  </si>
  <si>
    <t>WORK-002</t>
  </si>
  <si>
    <t>My work (view 'open')</t>
  </si>
  <si>
    <t>Job list grouping</t>
  </si>
  <si>
    <t>Job = one stage of one order that is mine. Mine means assigned to me, or unassigned and my role is in the stage's workflow roles (Tailors only for orders where they are tailor/master). Master/Designer also see every Workshop order's stages. Groups: NEW (assigned, unopened, latest first), Tasks, Do now (IN_PROGRESS), Next (ready because earlier steps are done), "Waiting for the master" (PENDING_VERIFICATION, non-supervisors only), and "N more later" for jobs not yet ready</t>
  </si>
  <si>
    <t>GET /api/orders/ (from App fetch)</t>
  </si>
  <si>
    <t>frontend/src/features/work/WorkPanel.jsx:228-261,298-396</t>
  </si>
  <si>
    <t>WORK-003</t>
  </si>
  <si>
    <t>My work</t>
  </si>
  <si>
    <t>NEW badge on fresh assignments</t>
  </si>
  <si>
    <t>Shows when a job assigned to me hasn't been opened on this device and I haven't moved it. Stored in localStorage key wk-opened:{userId} as "stageId:assignee" (shared with the To-do screen). The card reads "Assigned to you for: &lt;stage&gt; (garment)"</t>
  </si>
  <si>
    <t>All workers</t>
  </si>
  <si>
    <t>frontend/src/features/work/WorkPanel.jsx:155-176,330-353</t>
  </si>
  <si>
    <t>WORK-004</t>
  </si>
  <si>
    <t>Job card glance</t>
  </si>
  <si>
    <t>Title "Garment · Stage", NEW and EXPRESS tags, status chip (In progress / Sent back / Ready / Waiting), ref "#14-2" · customer, due date, "sent N ago". Design photo, up to 2 fabric thumbnails, fabric names, assigned to · role, first 4 measurements (+N). The send-back note's first line shows</t>
  </si>
  <si>
    <t>frontend/src/features/work/WorkPanel.jsx:97-146,278-296,377-390</t>
  </si>
  <si>
    <t>WORK-005</t>
  </si>
  <si>
    <t>My to-dos inline</t>
  </si>
  <si>
    <t>Open to-dos assigned to me (not CLOSED, not created from an order step): title, status, "From X", due date, first description line. Start (OPEN→IN_PROGRESS) and Mark done (→CLOSED) if can_change_status. Toast on result</t>
  </si>
  <si>
    <t>GET /api/todos/; POST /api/todos/{id}/status/</t>
  </si>
  <si>
    <t>frontend/src/features/work/WorkPanel.jsx:177-201,300-329</t>
  </si>
  <si>
    <t>WORK-006</t>
  </si>
  <si>
    <t>Auto refresh</t>
  </si>
  <si>
    <t>Refetches orders every 60 s and on window focus, but not while a job sheet is open</t>
  </si>
  <si>
    <t>GET /api/orders/ (+dashboard)</t>
  </si>
  <si>
    <t>frontend/src/features/work/WorkPanel.jsx:203-213</t>
  </si>
  <si>
    <t>WORK-007</t>
  </si>
  <si>
    <t>"Nothing to do right now — the master will assign you work", or "N job(s) are waiting for earlier steps to finish"</t>
  </si>
  <si>
    <t>frontend/src/features/work/WorkPanel.jsx:359-366</t>
  </si>
  <si>
    <t>WORK-008</t>
  </si>
  <si>
    <t>Job sheet</t>
  </si>
  <si>
    <t>Open job sheet</t>
  </si>
  <si>
    <t>Full-screen sheet with back arrow. Escape or the phone Back button closes it. Shows title, ref and customer</t>
  </si>
  <si>
    <t>frontend/src/features/work/WorkPanel.jsx:508-522,698-750</t>
  </si>
  <si>
    <t>WORK-009</t>
  </si>
  <si>
    <t>What to make / What to change</t>
  </si>
  <si>
    <t>Garment name (alterations add "from order X"). Design, fabric and accessory selections review. Special instructions with a Listen (text-to-speech) button and the order's voice-note player</t>
  </si>
  <si>
    <t>frontend/src/features/work/WorkPanel.jsx:562-582</t>
  </si>
  <si>
    <t>WORK-010</t>
  </si>
  <si>
    <t>Measurements</t>
  </si>
  <si>
    <t>Collapsible per garment: measurements (values in inches) and style spec. Older orders show the customer's measurements on file. "No measurements recorded" when empty</t>
  </si>
  <si>
    <t>frontend/src/features/work/WorkPanel.jsx:583-615</t>
  </si>
  <si>
    <t>WORK-011</t>
  </si>
  <si>
    <t>Your work so far</t>
  </si>
  <si>
    <t>Stage photos (tap → lightbox with swipe), the worker's submission note with Listen and voice player, and a note thread (last 20 transitions/notes with author, time, text, voice)</t>
  </si>
  <si>
    <t>frontend/src/features/work/WorkPanel.jsx:537-560,619-635</t>
  </si>
  <si>
    <t>WORK-012</t>
  </si>
  <si>
    <t>Photos from earlier steps</t>
  </si>
  <si>
    <t>Photos attached on earlier stages of the same garment (plus order-level stages), grouped by stage · performer, with a lightbox</t>
  </si>
  <si>
    <t>frontend/src/features/work/WorkPanel.jsx:637-666</t>
  </si>
  <si>
    <t>WORK-013</t>
  </si>
  <si>
    <t>Sent-back banner (rework)</t>
  </si>
  <si>
    <t>IN_PROGRESS with a verification_note shows "Sent back by the master" with the reason (Listen) and each rejected photo with its remark</t>
  </si>
  <si>
    <t>frontend/src/features/work/WorkPanel.jsx:668-683</t>
  </si>
  <si>
    <t>WORK-014</t>
  </si>
  <si>
    <t>Job sheet &gt; Start</t>
  </si>
  <si>
    <t>Start stage</t>
  </si>
  <si>
    <t>NOT_STARTED/PAUSED: "Start" sets IN_PROGRESS (toast "Started. Good luck!"). Can carry optional photos/note. The server checks prerequisites and roles and auto-opens attendance</t>
  </si>
  <si>
    <t>POST /api/orders/{id}/transition/ (stage_key, status=IN_PROGRESS, comments, images[], garment_job)</t>
  </si>
  <si>
    <t>frontend/src/features/work/WorkPanel.jsx:686-688,831-894</t>
  </si>
  <si>
    <t>WORK-015</t>
  </si>
  <si>
    <t>Add photo or note before starting</t>
  </si>
  <si>
    <t>"Add photo or note" reveals Take photo (camera), Add from gallery (multi), up to 5 images (image only, ≤8 MB), removable tiles, note textarea, and the voice recorder. "Save note" (needs text) keeps the status. Stop recording before saving</t>
  </si>
  <si>
    <t>POST /api/orders/{id}/transition/ (same status + comments + images)</t>
  </si>
  <si>
    <t>frontend/src/features/work/WorkPanel.jsx:846-891</t>
  </si>
  <si>
    <t>WORK-016</t>
  </si>
  <si>
    <t>Job sheet &gt; Submit</t>
  </si>
  <si>
    <t>Send for checking / Fix &amp; send again</t>
  </si>
  <si>
    <t>IN_PROGRESS: Take photo / gallery (max 5) plus an optional note and voice note. Workers must add at least one photo ("Add a photo of the finished work first"). The client sends COMPLETED and the server converts it to PENDING_VERIFICATION for non-supervisors. Label is "Fix &amp; send again" after a send-back. A fresh submission drops rejected photos</t>
  </si>
  <si>
    <t>POST /api/orders/{id}/transition/ (status=COMPLETED, images[])</t>
  </si>
  <si>
    <t>frontend/src/features/work/WorkPanel.jsx:770-826; domains/orders/services.py:719-760</t>
  </si>
  <si>
    <t>WORK-017</t>
  </si>
  <si>
    <t>Mark done (supervisor)</t>
  </si>
  <si>
    <t>Master/Designer complete their own stage directly with optional photos and note</t>
  </si>
  <si>
    <t>Master/Designer</t>
  </si>
  <si>
    <t>POST /api/orders/{id}/transition/ (status=COMPLETED)</t>
  </si>
  <si>
    <t>frontend/src/features/work/WorkPanel.jsx:785-792</t>
  </si>
  <si>
    <t>WORK-018</t>
  </si>
  <si>
    <t>Voice note on stage</t>
  </si>
  <si>
    <t>Record (MediaRecorder, max 180 s), play back, then Send uploads it and saves it on the stage with the box text (status unchanged), or Delete clears the stage voice note. Shows sender and time of the last sent note. Available in Start, Submit, Waiting and Check forms</t>
  </si>
  <si>
    <t>All workers/supervisors</t>
  </si>
  <si>
    <t>POST /api/voice-notes/ (audio) → POST /api/orders/{id}/transition/ (voice_note | voice_note_clear=1)</t>
  </si>
  <si>
    <t>frontend/src/features/work/WorkPanel.jsx:524-535,752-767; frontend/src/components/ui/VoiceTextarea.jsx:207</t>
  </si>
  <si>
    <t>WORK-019</t>
  </si>
  <si>
    <t>Job sheet &gt; Waiting</t>
  </si>
  <si>
    <t>Note while waiting for check</t>
  </si>
  <si>
    <t>PENDING_VERIFICATION (worker): calm message "Sent for checking", plus "Add a note" → text + voice and Save note (text required)</t>
  </si>
  <si>
    <t>POST /api/orders/{id}/transition/ (status unchanged)</t>
  </si>
  <si>
    <t>frontend/src/features/work/WorkPanel.jsx:905-935</t>
  </si>
  <si>
    <t>WORK-020</t>
  </si>
  <si>
    <t>Job sheet &gt; Assign to</t>
  </si>
  <si>
    <t>Reassign stage to a worker</t>
  </si>
  <si>
    <t>Supervisors (not on a stage waiting for check) pick from staff they're allowed to assign: hierarchy Owner&gt;Designer&gt;Master&gt;worker, filtered by the stage's roles, excluding self. A Master may only hand on stages that are theirs or unassigned (unless Admin workshop.reassign). The worker is notified and an ASSIGNMENT activity is logged</t>
  </si>
  <si>
    <t>Master/Designer (Admin workshop.assign)</t>
  </si>
  <si>
    <t>GET /api/orders/assignable-staff/; POST /api/orders/{id}/assign-stage/ {stage_key, tailor_id, garment_job}</t>
  </si>
  <si>
    <t>frontend/src/features/work/WorkPanel.jsx:456-504,709-711; crm_api/views.py:1152-1244</t>
  </si>
  <si>
    <t>WORK-021</t>
  </si>
  <si>
    <t>To check (view 'check')</t>
  </si>
  <si>
    <t>Verification queue</t>
  </si>
  <si>
    <t>Every open order's stage in PENDING_VERIFICATION, newest first. Card shows performer, "waiting N", photo thumbnails, and a red unseen dot until verification_seen_at is set</t>
  </si>
  <si>
    <t>Master/Designer (Owner via Workshop)</t>
  </si>
  <si>
    <t>GET /api/orders/</t>
  </si>
  <si>
    <t>frontend/src/features/work/WorkPanel.jsx:243-246,411-423</t>
  </si>
  <si>
    <t>WORK-022</t>
  </si>
  <si>
    <t>To check</t>
  </si>
  <si>
    <t>Mark seen on open</t>
  </si>
  <si>
    <t>Opening a submitted stage records "seen by" and notifies the worker (first open only)</t>
  </si>
  <si>
    <t>Owner/Master/Designer (Admin workshop.review)</t>
  </si>
  <si>
    <t>POST /api/orders/{id}/stage-seen/ {stage_key, garment_job}</t>
  </si>
  <si>
    <t>frontend/src/features/work/WorkPanel.jsx:221-226; crm_api/views.py:1096-1131</t>
  </si>
  <si>
    <t>WORK-023</t>
  </si>
  <si>
    <t>To check sheet</t>
  </si>
  <si>
    <t>Review submission</t>
  </si>
  <si>
    <t>Swipeable photo strip (tap to enlarge), "From &lt;worker&gt;" note + voice, note thread, collapsible "What was asked", photos from earlier steps</t>
  </si>
  <si>
    <t>frontend/src/features/work/WorkPanel.jsx:712-736</t>
  </si>
  <si>
    <t>WORK-024</t>
  </si>
  <si>
    <t>Approve</t>
  </si>
  <si>
    <t>Sets COMPLETED; the worker's name stays as performer; toast "Approved."</t>
  </si>
  <si>
    <t>Master/Designer/Owner</t>
  </si>
  <si>
    <t>frontend/src/features/work/WorkPanel.jsx:975-979</t>
  </si>
  <si>
    <t>WORK-025</t>
  </si>
  <si>
    <t>Send back for rework</t>
  </si>
  <si>
    <t>"Send back" opens a reason box + voice recorder. A reason is required (an existing voice note counts; text then defaults to "See voice note"). Sets IN_PROGRESS with verification_note; the worker is notified</t>
  </si>
  <si>
    <t>POST /api/orders/{id}/transition/ (status=IN_PROGRESS, comments)</t>
  </si>
  <si>
    <t>frontend/src/features/work/WorkPanel.jsx:937-988; domains/orders/services.py:730-750</t>
  </si>
  <si>
    <t>WORK-026</t>
  </si>
  <si>
    <t>Done (view 'done')</t>
  </si>
  <si>
    <t>Finished work list</t>
  </si>
  <si>
    <t>My finished (COMPLETED/SKIPPED) stages, newest first: "✓ Checked by X" or status, date, "sent back once/N times", photo thumbs. Opens the sheet read-only</t>
  </si>
  <si>
    <t>Master/Tailor &amp; production roles</t>
  </si>
  <si>
    <t>frontend/src/features/work/WorkPanel.jsx:397-410</t>
  </si>
  <si>
    <t>WORK-027</t>
  </si>
  <si>
    <t>Workshop (Production) tab</t>
  </si>
  <si>
    <t>Workshop list</t>
  </si>
  <si>
    <t>Every order being made. Search box. Filters: order type (Stitching/Maggam/Alterations), customer tier, garment, workflow stage (collapsible on phone). Multi-garment orders split into "#15-1/#15-2" rows. Columns: ref (+garment, EXPRESS), type, customer (+"Boutique stock" badge for internal runs), delivery date, where it stands (prev ✓ → current · who · since → next, Late badge), View</t>
  </si>
  <si>
    <t>Owner/Designer (Admin workshop.*)</t>
  </si>
  <si>
    <t>frontend/src/App.jsx:2260,2274,5348-5639</t>
  </si>
  <si>
    <t>WORK-028</t>
  </si>
  <si>
    <t>List / Board toggle</t>
  </si>
  <si>
    <t>Segmented Board/List (workshop only)</t>
  </si>
  <si>
    <t>Owner/Designer</t>
  </si>
  <si>
    <t>frontend/src/App.jsx:5448-5457</t>
  </si>
  <si>
    <t>WORK-029</t>
  </si>
  <si>
    <t>Stage columns</t>
  </si>
  <si>
    <t>One column per workflow stage the orders carry (optional stages marked). Header shows count, description and overdue count. Card: garment photo, ref, EXPRESS, status, customer, garment, delivery with Overdue/Due soon (7 days), assignee, rework badge (QC failed/Stage reopened), payment status. Tap opens stage review</t>
  </si>
  <si>
    <t>frontend/src/features/orders/OrderKanban.jsx:79-273</t>
  </si>
  <si>
    <t>WORK-030</t>
  </si>
  <si>
    <t>Drag card to move forward</t>
  </si>
  <si>
    <t>Drop on a later column completes the intermediate stages (optional NOT_STARTED ones are SKIPPED), with confirmation when more than one hop, then starts the target. Backward drops are refused (use Reopen/Fail QC). Refused if the order doesn't pass through that stage</t>
  </si>
  <si>
    <t>POST /api/orders/{id}/transition/ (multiple)</t>
  </si>
  <si>
    <t>frontend/src/features/orders/OrderKanban.jsx:101-148</t>
  </si>
  <si>
    <t>WORK-031</t>
  </si>
  <si>
    <t>Workshop order detail</t>
  </si>
  <si>
    <t>For a 'new' order: modal to pick Master in charge and Stitching tailor (defaults: existing assignees, else first Master and freest available tailor), shows promised date. Sends in one tap when there is only one Master and one tailor. Starts the first stage</t>
  </si>
  <si>
    <t>Owner/Master (Admin workshop.assign/move)</t>
  </si>
  <si>
    <t>POST /api/orders/{id}/send-to-workshop/ {master, tailor}</t>
  </si>
  <si>
    <t>frontend/src/App.jsx:2643-2679,4930-4935,5602-5607,9018-9054</t>
  </si>
  <si>
    <t>WORK-032</t>
  </si>
  <si>
    <t>Mark as complete (all stages)</t>
  </si>
  <si>
    <t>Owner shortcut: confirm (warns if payment is incomplete), completes every remaining stage and marks the order Delivered</t>
  </si>
  <si>
    <t>POST /api/orders/{id}/complete-all/</t>
  </si>
  <si>
    <t>frontend/src/App.jsx:4936-4950</t>
  </si>
  <si>
    <t>WORK-033</t>
  </si>
  <si>
    <t>Switch order path</t>
  </si>
  <si>
    <t>Badge select Stitching/Maggam, offered only before any stage past "created" has started (not for alterations)</t>
  </si>
  <si>
    <t>Owner/Master/Designer (Admin workshop.move)</t>
  </si>
  <si>
    <t>POST /api/orders/{id}/set-flow/ {flow}</t>
  </si>
  <si>
    <t>frontend/src/App.jsx:4976-4996</t>
  </si>
  <si>
    <t>WORK-034</t>
  </si>
  <si>
    <t>Assign Master / Stitching tailor</t>
  </si>
  <si>
    <t>Selects (hidden for production staff). Order-level: PATCH order master/tailor. Per-garment focus: assigns every NOT_STARTED tailor step (stitching/finishing/alteration_work) or the other steps; alerts if all have started</t>
  </si>
  <si>
    <t>Owner/Master/Designer</t>
  </si>
  <si>
    <t>PATCH /api/orders/{id}/ {master|tailor}; POST /api/orders/{id}/assign-stage/</t>
  </si>
  <si>
    <t>frontend/src/App.jsx:2681-2721,5018-5065</t>
  </si>
  <si>
    <t>WORK-035</t>
  </si>
  <si>
    <t>Where-it-stands strip &amp; journey table</t>
  </si>
  <si>
    <t>Previous/current/next stage pills (garment tag, started on, who, "waiting for check") each open stage review. Order journey task table with progress bar "x of y tasks completed"</t>
  </si>
  <si>
    <t>All with access</t>
  </si>
  <si>
    <t>frontend/src/App.jsx:5086-5140</t>
  </si>
  <si>
    <t>WORK-036</t>
  </si>
  <si>
    <t>Master production verification checklist</t>
  </si>
  <si>
    <t>Master-only checkboxes: Dress &amp; Pattern Cutting, Matching Thread, Hemming &amp; Seam, Fall &amp; Pico (Saree only), Hook/Buttons, Steam Pressing, Dispatch/Fit Trial. Header badge "Master Verified x/y (%)"</t>
  </si>
  <si>
    <t>Master (Admin workshop.review)</t>
  </si>
  <si>
    <t>PATCH /api/orders/{id}/master-verification/ {master_verification}</t>
  </si>
  <si>
    <t>frontend/src/App.jsx:4918-4920,4971-4975,5188-5232</t>
  </si>
  <si>
    <t>WORK-037</t>
  </si>
  <si>
    <t>Stitching photo review</t>
  </si>
  <si>
    <t>In the "Stitching completion report", supervisors can Reject photo (prompt, remark required) or Undo rejection; View opens a lightbox</t>
  </si>
  <si>
    <t>POST /api/orders/{id}/review-photo/ {stage_key,url,remark,status:REJECTED|CLEAR,garment_job}</t>
  </si>
  <si>
    <t>frontend/src/App.jsx:5238-5310</t>
  </si>
  <si>
    <t>WORK-038</t>
  </si>
  <si>
    <t>Garment photos gallery</t>
  </si>
  <si>
    <t>Pick a view (Front/Back/…; "replace" when one exists) and add a photo by camera or file (image validation). Remove tiles. "Share with customer"/"Hide from customer" needs Front and Back first</t>
  </si>
  <si>
    <t>Owner/Master/Designer (Admin workshop.quality)</t>
  </si>
  <si>
    <t>POST /api/orders/{id}/garment-images/; DELETE /api/orders/{id}/garment-images/{image_id}/; POST /api/orders/{id}/publish-garment-images/ {published}</t>
  </si>
  <si>
    <t>frontend/src/App.jsx:686-766,5323</t>
  </si>
  <si>
    <t>WORK-039</t>
  </si>
  <si>
    <t>"Show materials" loads the plan: purchase lines (Need to buy/Purchased/Received), "N of M still to gather". Tick gathered/ungathered (records name and date). Attach a photo per line (camera). Shows consumed qty and customer-supplied flag</t>
  </si>
  <si>
    <t>Owner/Master/Designer (edit); others view</t>
  </si>
  <si>
    <t>GET /api/inventory/material-plans/checklist/?order=; POST /api/inventory/material-plans/{id}/gather/ {line_id,gathered}; POST /api/inventory/material-plans/{id}/line-photo/</t>
  </si>
  <si>
    <t>frontend/src/App.jsx:1304-1393,5148-5175</t>
  </si>
  <si>
    <t>WORK-040</t>
  </si>
  <si>
    <t>Stage review modal</t>
  </si>
  <si>
    <t>Garment thumb, garment/customer/delivery, detail count. Status, started, SLA hours, completed, actual duration, performed by. Garment brief (measurements/style/materials, instructions + voice note). Designs &amp; fabrics review</t>
  </si>
  <si>
    <t>frontend/src/App.jsx:9228-9476</t>
  </si>
  <si>
    <t>WORK-041</t>
  </si>
  <si>
    <t>Start / Resume</t>
  </si>
  <si>
    <t>NOT_STARTED/PAUSED → IN_PROGRESS</t>
  </si>
  <si>
    <t>All with stage role</t>
  </si>
  <si>
    <t>POST /api/orders/{id}/transition/</t>
  </si>
  <si>
    <t>frontend/src/App.jsx:9296-9301</t>
  </si>
  <si>
    <t>WORK-042</t>
  </si>
  <si>
    <t>Mark completed vs Submit for verification</t>
  </si>
  <si>
    <t>Supervisors: Mark completed. Others: Submit for verification, disabled until a progress photo is added. Payment stage asks for confirmation if the order isn't fully paid</t>
  </si>
  <si>
    <t>Owner/Master/Designer vs Tailor &amp; production roles</t>
  </si>
  <si>
    <t>POST /api/orders/{id}/transition/ (COMPLETED | PENDING_VERIFICATION, performed_by_id=assignee)</t>
  </si>
  <si>
    <t>frontend/src/App.jsx:9237-9269,9306-9317</t>
  </si>
  <si>
    <t>WORK-043</t>
  </si>
  <si>
    <t>Confirm or Send back</t>
  </si>
  <si>
    <t>PENDING_VERIFICATION: Confirm completed, or Send Back (prompt, reason required, max 500). Non-supervisors see "Marked done. The owner or Master will confirm it."</t>
  </si>
  <si>
    <t>frontend/src/App.jsx:9318-9336</t>
  </si>
  <si>
    <t>WORK-044</t>
  </si>
  <si>
    <t>Save note only</t>
  </si>
  <si>
    <t>"Save note" appears when comments are typed; keeps the status</t>
  </si>
  <si>
    <t>frontend/src/App.jsx:9289-9295; domains/orders/services.py:693-707</t>
  </si>
  <si>
    <t>WORK-045</t>
  </si>
  <si>
    <t>Assign this stage</t>
  </si>
  <si>
    <t>Select of eligible staff (workflow stage roles; designers included when the stage allows Designer) or Unassigned</t>
  </si>
  <si>
    <t>POST /api/orders/{id}/assign-stage/</t>
  </si>
  <si>
    <t>frontend/src/App.jsx:3596-3634,9630-9644</t>
  </si>
  <si>
    <t>WORK-046</t>
  </si>
  <si>
    <t>Comments, dictation and voice note</t>
  </si>
  <si>
    <t>Comments textarea with mic dictation (speech-to-text, max 2000). Separate voice recorder: Send saves the clip with the comments; Delete clears it</t>
  </si>
  <si>
    <t>POST /api/voice-notes/; POST /api/orders/{id}/transition/</t>
  </si>
  <si>
    <t>frontend/src/App.jsx:9649-9675</t>
  </si>
  <si>
    <t>WORK-047</t>
  </si>
  <si>
    <t>Progress photos upload</t>
  </si>
  <si>
    <t>Up to 5 images by dropzone (multi), file or camera, removable tiles. Alerts on extras and invalid files</t>
  </si>
  <si>
    <t>POST /api/orders/{id}/transition/ (images[] downscaled client-side)</t>
  </si>
  <si>
    <t>frontend/src/App.jsx:9676-9702; frontend/src/services/api.js:799-830</t>
  </si>
  <si>
    <t>WORK-048</t>
  </si>
  <si>
    <t>Photo verdicts while pending</t>
  </si>
  <si>
    <t>Progress photos show a Rejected badge and remark. Supervisors can Reject photo (remark required) or Undo rejection while the stage is PENDING_VERIFICATION</t>
  </si>
  <si>
    <t>frontend/src/App.jsx:9580-9623</t>
  </si>
  <si>
    <t>WORK-049</t>
  </si>
  <si>
    <t>Notes thread &amp; delete voice note</t>
  </si>
  <si>
    <t>Last 20 notes/transitions with author, time, text and voice. Delete on a voice note (confirm) removes the clip; the thread is updated in place</t>
  </si>
  <si>
    <t>All with access (server rules)</t>
  </si>
  <si>
    <t>DELETE /api/orders/{id}/stage-notes/{activity_id}/voice-note/</t>
  </si>
  <si>
    <t>frontend/src/App.jsx:9518-9578</t>
  </si>
  <si>
    <t>WORK-050</t>
  </si>
  <si>
    <t>Pending verification info</t>
  </si>
  <si>
    <t>"Pending verification" note with "Seen by X · time" plus the latest note (text + Listen + voice, sender)</t>
  </si>
  <si>
    <t>client-only (stage-seen called on open)</t>
  </si>
  <si>
    <t>frontend/src/App.jsx:3563-3576,9489-9517</t>
  </si>
  <si>
    <t>WORK-051</t>
  </si>
  <si>
    <t>Reopen stage (rework)</t>
  </si>
  <si>
    <t>On a settled stage: "Reopen Stage…" asks for a reason (dictation, max 500) and warns which later stages will reset to Not started. Logged with name</t>
  </si>
  <si>
    <t>Owner/Master</t>
  </si>
  <si>
    <t>POST /api/orders/{id}/reopen-stage/ {stage_key, reason, garment_job}</t>
  </si>
  <si>
    <t>frontend/src/App.jsx:9341-9346,9718-9788</t>
  </si>
  <si>
    <t>WORK-052</t>
  </si>
  <si>
    <t>Fail QC — send for rework</t>
  </si>
  <si>
    <t>On master_quality_check when not completed: reason required. Stitching stages reopen and the order drops back to Design &amp; Creation. Board shows "QC failed — rework"</t>
  </si>
  <si>
    <t>Owner/Master/QC Staff</t>
  </si>
  <si>
    <t>POST /api/orders/{id}/fail-qc/ {reason, garment_job}</t>
  </si>
  <si>
    <t>frontend/src/App.jsx:9347-9353,9766-9767; domains/orders/workflow.py:278</t>
  </si>
  <si>
    <t>WORK-053</t>
  </si>
  <si>
    <t>Fabric used at cutting (material consumption)</t>
  </si>
  <si>
    <t>On pattern_cutting/fabric_cutting: per stock line shows planned, reserved, used, waste and on-shelf. Enter used and/or waste qty (3 decimals, at least one &gt; 0) and Record. Stock and order material cost update</t>
  </si>
  <si>
    <t>GET /api/inventory/material-plans/checklist/?order=; POST /api/inventory/material-plans/{id}/consume/ {line, used, wasted, stage_key}</t>
  </si>
  <si>
    <t>frontend/src/App.jsx:1238-1301,9478-9487</t>
  </si>
  <si>
    <t>WORK-054</t>
  </si>
  <si>
    <t>Background</t>
  </si>
  <si>
    <t>Automatic material sync &amp; staff availability</t>
  </si>
  <si>
    <t>Every transition syncs order materials (reserve/consume per stage). Stitching/delivered transitions refresh tailor/master Busy/Available</t>
  </si>
  <si>
    <t>System</t>
  </si>
  <si>
    <t>side effect of transition</t>
  </si>
  <si>
    <t>domains/orders/services.py:807-809,882-883</t>
  </si>
  <si>
    <t>WORK-055</t>
  </si>
  <si>
    <t>Assignment notifies the assignee. Submission and send-back notify verifier/worker. A voice note notifies. Completion notifies the next stage's owners</t>
  </si>
  <si>
    <t>side effect</t>
  </si>
  <si>
    <t>crm_api/views.py:1224-1229; domains/orders/services.py:885-903</t>
  </si>
  <si>
    <t>PROD-001</t>
  </si>
  <si>
    <t>Production Tasks</t>
  </si>
  <si>
    <t>Production tasks (API only)</t>
  </si>
  <si>
    <t>ProductionTask &amp; QC records</t>
  </si>
  <si>
    <t>ProductionTask rows mirror stages (status PENDING/IN_PROGRESS/COMPLETED/SKIPPED/BLOCKED; assignee follows assign/transition) and CRUD is logged to activity. QCRecord CRUD exists (feeds Performance quality metrics). No frontend screen calls these</t>
  </si>
  <si>
    <t>Owner/visible-order users</t>
  </si>
  <si>
    <t>GET/POST/PATCH /api/production/tasks/; GET/POST /api/production/qc/</t>
  </si>
  <si>
    <t>apps/production/views.py:16-80; domains/orders/services.py:850-861,911-918</t>
  </si>
  <si>
    <t>PROD-002</t>
  </si>
  <si>
    <t>Order selector</t>
  </si>
  <si>
    <t>Stitch for the boutique (internal run)</t>
  </si>
  <si>
    <t>Fourth service door on the new-order screen, Owner only. Opens a dialog; after creation it goes to Orders</t>
  </si>
  <si>
    <t>frontend/src/App.jsx:7446-7462</t>
  </si>
  <si>
    <t>PROD-003</t>
  </si>
  <si>
    <t>Internal run dialog</t>
  </si>
  <si>
    <t>Configure garment</t>
  </si>
  <si>
    <t>Pick a garment template (required; resets config), quantity 1-50 whole number. GarmentConfigurator: basic/style required fields, special instructions; folded sections for optional details, the look part by part, fabric from stock (qty per slot), trims &amp; accessories, items to buy, measurements</t>
  </si>
  <si>
    <t>GET /api/catalog/templates/; GET /api/tailors/; GET /api/inventory/items/?picker=true</t>
  </si>
  <si>
    <t>frontend/src/features/production/BoutiqueProduction.jsx:30-147; frontend/src/features/production/GarmentConfigurator.jsx:34-139</t>
  </si>
  <si>
    <t>PROD-004</t>
  </si>
  <si>
    <t>Start production</t>
  </si>
  <si>
    <t>Master (optional), Tailor (optional, non-Masters), urgency (Normal/Soon/Rush/Whenever), wanted-by date, notes. Sends spec, measurements, design, fabrics, fabric_qty, STORE material lines with qty &gt; 0, purchases. Garments are received into inventory when the last stage completes</t>
  </si>
  <si>
    <t>POST /api/orders/internal-production/</t>
  </si>
  <si>
    <t>frontend/src/features/production/BoutiqueProduction.jsx:61-96,149-191; domains/orders/services.py:815-819</t>
  </si>
  <si>
    <t>TODO-001</t>
  </si>
  <si>
    <t>To-do</t>
  </si>
  <si>
    <t>To-do tab</t>
  </si>
  <si>
    <t>In every role's nav ("To-do"). Hidden if the 'todos' module is off</t>
  </si>
  <si>
    <t>All (module 'todos')</t>
  </si>
  <si>
    <t>frontend/src/App.jsx:1430,1455,1480,1489,1496,4789-4793</t>
  </si>
  <si>
    <t>TODO-002</t>
  </si>
  <si>
    <t>To-do page</t>
  </si>
  <si>
    <t>Load lists</t>
  </si>
  <si>
    <t>Loads to-dos, people I can assign to (+can_assign) and order work. Quiet refresh every 60 s and on focus, paused while a modal is open</t>
  </si>
  <si>
    <t>GET /api/todos/; GET /api/todos/people/; GET /api/todos/order-work/</t>
  </si>
  <si>
    <t>frontend/src/features/todo/TodoPanel.jsx:699-733</t>
  </si>
  <si>
    <t>TODO-003</t>
  </si>
  <si>
    <t>Status filter</t>
  </si>
  <si>
    <t>Segmented Active (Open+In progress, default), Open, In progress, Closed, All, with counts (respecting the person filter)</t>
  </si>
  <si>
    <t>frontend/src/features/todo/TodoPanel.jsx:737-764,815-826</t>
  </si>
  <si>
    <t>TODO-004</t>
  </si>
  <si>
    <t>Filter by person</t>
  </si>
  <si>
    <t>"Staff" dropdown: All staff, "Me (name)", assignable people and anyone with a to-do. Hides the Staff column when one person is picked</t>
  </si>
  <si>
    <t>frontend/src/features/todo/TodoPanel.jsx:697,746-757,827-837</t>
  </si>
  <si>
    <t>TODO-005</t>
  </si>
  <si>
    <t>Visibility rule</t>
  </si>
  <si>
    <t>Owner, Designer and Master see every to-do. Others see only those assigned to them or created by them</t>
  </si>
  <si>
    <t>server-side</t>
  </si>
  <si>
    <t>apps/todos/services.py:79-83</t>
  </si>
  <si>
    <t>TODO-006</t>
  </si>
  <si>
    <t>Day table</t>
  </si>
  <si>
    <t>Grouped by day (start date, else created date), newest first, and by person when several are shown. Columns: Date (+Today), Staff (avatar, role), Work (title link, NEW tag, status badge, "Ends &lt;date&gt;" red when overdue), photo count, voice-note count, last update</t>
  </si>
  <si>
    <t>frontend/src/features/todo/TodoPanel.jsx:473-572,856-861</t>
  </si>
  <si>
    <t>TODO-007</t>
  </si>
  <si>
    <t>NEW highlight</t>
  </si>
  <si>
    <t>To-dos given to me by someone else, not closed and not yet opened on this device, are highlighted (localStorage todo-opened:{userId}). Opening clears it</t>
  </si>
  <si>
    <t>frontend/src/features/todo/TodoPanel.jsx:659-694</t>
  </si>
  <si>
    <t>TODO-008</t>
  </si>
  <si>
    <t>Add to-do modal</t>
  </si>
  <si>
    <t>Create to-do</t>
  </si>
  <si>
    <t>Title (required, max 200); details (max 2000); Assign to (only when can_assign, default me); start date (default today); end date (≥ start). Optional photos (camera/multi, up to 10, image validation) and a voice note (record → upload → attach, delete). Assignee is notified</t>
  </si>
  <si>
    <t>All (assign: Owner/Designer/Master)</t>
  </si>
  <si>
    <t>POST /api/voice-notes/; POST /api/todos/ (multipart title, description, start_date, due_date, assigned_to, voice_note, order_stage, photos[])</t>
  </si>
  <si>
    <t>frontend/src/features/todo/TodoPanel.jsx:134-266,808-811; apps/todos/views.py:239-257</t>
  </si>
  <si>
    <t>TODO-009</t>
  </si>
  <si>
    <t>Assignment rules</t>
  </si>
  <si>
    <t>Who can be assigned</t>
  </si>
  <si>
    <t>Owner: everyone with a login. Designer: floor + designers. Master: floor roles. Others: themselves only. The server rejects anyone else</t>
  </si>
  <si>
    <t>Owner/Designer/Master</t>
  </si>
  <si>
    <t>GET /api/todos/people/</t>
  </si>
  <si>
    <t>apps/todos/services.py:43-76; apps/todos/views.py:66-82</t>
  </si>
  <si>
    <t>TODO-010</t>
  </si>
  <si>
    <t>To-do detail</t>
  </si>
  <si>
    <t>View to-do</t>
  </si>
  <si>
    <t>Title, "Added by X · time", description, assignee (+role), Start → End dates, status buttons, updates history</t>
  </si>
  <si>
    <t>All visible</t>
  </si>
  <si>
    <t>GET /api/todos/ (cached list)</t>
  </si>
  <si>
    <t>frontend/src/features/todo/TodoPanel.jsx:306-471</t>
  </si>
  <si>
    <t>TODO-011</t>
  </si>
  <si>
    <t>Change status</t>
  </si>
  <si>
    <t>Open / In progress / Closed buttons (active one disabled). Allowed for assignee, creator, Owner, Master, Designer; otherwise an explanatory note. Logs a status update. Closing notifies the creator</t>
  </si>
  <si>
    <t>Assignee/creator/Owner/Master/Designer</t>
  </si>
  <si>
    <t>POST /api/todos/{id}/status/ {status}</t>
  </si>
  <si>
    <t>frontend/src/features/todo/TodoPanel.jsx:326-328,415-433; apps/todos/views.py:313-342; apps/todos/services.py:224-229</t>
  </si>
  <si>
    <t>TODO-012</t>
  </si>
  <si>
    <t>Reassign</t>
  </si>
  <si>
    <t>Assignee select when can_edit and can_assign (keeps a current assignee who is outside my list). Logs "Assigned to X" and notifies</t>
  </si>
  <si>
    <t>Owner/Master/Designer (or creator who can assign)</t>
  </si>
  <si>
    <t>PATCH /api/todos/{id}/ {assigned_to}</t>
  </si>
  <si>
    <t>frontend/src/features/todo/TodoPanel.jsx:339-341,393-404; apps/todos/views.py:259-289</t>
  </si>
  <si>
    <t>TODO-013</t>
  </si>
  <si>
    <t>To-do detail (API)</t>
  </si>
  <si>
    <t>Edit title/description/dates</t>
  </si>
  <si>
    <t>The PATCH endpoint accepts title, description, start_date, due_date (end ≥ start). The UI exposes only reassign</t>
  </si>
  <si>
    <t>Creator/Owner/Master/Designer</t>
  </si>
  <si>
    <t>PATCH /api/todos/{id}/</t>
  </si>
  <si>
    <t>apps/todos/views.py:259-282</t>
  </si>
  <si>
    <t>TODO-014</t>
  </si>
  <si>
    <t>Post update</t>
  </si>
  <si>
    <t>Text note (dictation, max 2000), photos (≤10) and/or voice note. Needs at least one. Shows in history with avatar, time, photos (tap to open) and audio. Status/assignment entries show as small lines</t>
  </si>
  <si>
    <t>POST /api/todos/{id}/updates/ (multipart text, voice_note, photos[])</t>
  </si>
  <si>
    <t>frontend/src/features/todo/TodoPanel.jsx:268-304,330-337,441-468; apps/todos/views.py:344-353</t>
  </si>
  <si>
    <t>TODO-015</t>
  </si>
  <si>
    <t>Delete to-do</t>
  </si>
  <si>
    <t>Delete → inline confirm "Delete this to-do and its updates?" Keep/Delete</t>
  </si>
  <si>
    <t>Creator/Owner</t>
  </si>
  <si>
    <t>DELETE /api/todos/{id}/</t>
  </si>
  <si>
    <t>frontend/src/features/todo/TodoPanel.jsx:343-346,364-377; apps/todos/services.py:232-233</t>
  </si>
  <si>
    <t>TODO-016</t>
  </si>
  <si>
    <t>Assigned to you (my order work)</t>
  </si>
  <si>
    <t>Top list of my own unfinished order stages/designs, latest assignment first, NEW highlight shared with My work: task · garment, status, ref "#14-2" · customer, due, "assigned N ago". Tap opens Add to-do prefilled</t>
  </si>
  <si>
    <t>GET /api/todos/order-work/</t>
  </si>
  <si>
    <t>frontend/src/features/todo/TodoPanel.jsx:72-105,766-777,842-845</t>
  </si>
  <si>
    <t>TODO-017</t>
  </si>
  <si>
    <t>Order work table (others)</t>
  </si>
  <si>
    <t>"Order work (N)": each order's current step per person (Staff, Task, Order, Status: Not started/In progress/Waiting for check/Assigned/Submitted/Changes requested, Due in red when overdue). Only current steps whose prerequisites are done. Owner/Master see all; Designer sees their team; others see their own</t>
  </si>
  <si>
    <t>frontend/src/features/todo/TodoPanel.jsx:574-643,864-874; apps/todos/services.py:86-221</t>
  </si>
  <si>
    <t>TODO-018</t>
  </si>
  <si>
    <t>Add from order work</t>
  </si>
  <si>
    <t>To-do from an order step</t>
  </si>
  <si>
    <t>Tapping a task prefills title "Task — garment · ref", description (order, customer, garment, step + status), today's start, order_stage id and assignee (the step's person if assignable, else me). The server checks the step is on my list</t>
  </si>
  <si>
    <t>POST /api/todos/ (order_stage)</t>
  </si>
  <si>
    <t>frontend/src/features/todo/TodoPanel.jsx:779-794; apps/todos/views.py:102-117</t>
  </si>
  <si>
    <t>TODO-019</t>
  </si>
  <si>
    <t>Linked to-do behaviour</t>
  </si>
  <si>
    <t>Step ↔ to-do sync</t>
  </si>
  <si>
    <t>Linked to-do set In progress starts the step. Closed completes it via the workflow (workers' photos go to verification; refusal keeps it open; adds a status line). Notes/voice on the to-do are copied to the step. When the step moves elsewhere, open linked to-dos auto-move (author "Workflow"). The UI refreshes order work after closing</t>
  </si>
  <si>
    <t>POST /api/todos/{id}/status/; POST /api/todos/{id}/updates/</t>
  </si>
  <si>
    <t>frontend/src/features/todo/TodoPanel.jsx:434-439,895-901; apps/todos/views.py:119-195; apps/todos/signals.py:22-56</t>
  </si>
  <si>
    <t>STF-001</t>
  </si>
  <si>
    <t>Staff &amp; Team</t>
  </si>
  <si>
    <t>Staff tab entry &amp; label</t>
  </si>
  <si>
    <t>Owner nav "Staff management" (Team group); Master/Designer/production roles see the same tab labelled "My attendance". Tab is hidden if the user's modules lack 'staff'. Dashboard "Working now" tile and "Manage team" card link here</t>
  </si>
  <si>
    <t>All (module 'staff')</t>
  </si>
  <si>
    <t>frontend/src/App.jsx:1428,1466,1479,1488,1495,4637,6681</t>
  </si>
  <si>
    <t>STF-002</t>
  </si>
  <si>
    <t>Retired 'tailors' tab</t>
  </si>
  <si>
    <t>dashboardTab 'tailors' only maps to the page title nav.manageTailors; it renders no content and is not in any nav. Old Manage Tailors screen was folded into StaffPanel (Team tab)</t>
  </si>
  <si>
    <t>frontend/src/App.jsx:4261,4796</t>
  </si>
  <si>
    <t>STF-003</t>
  </si>
  <si>
    <t>Staff panel</t>
  </si>
  <si>
    <t>Header and tab strip</t>
  </si>
  <si>
    <t>Title is "Your team" for Owner/Master and "My attendance" for everyone else. Tabs: Team, Tasks, Attendance, Payroll, Performance, Roles &amp; Permissions. Owner gets all six. Master gets all except Payroll and Permissions. Other roles get Attendance, Tasks, Performance and "My details" (the Team tab renamed). Default tab is Team for Owner, Attendance for others</t>
  </si>
  <si>
    <t>Owner/Master/Designer/Tailor &amp; production roles</t>
  </si>
  <si>
    <t>frontend/src/features/staff/StaffPanel.jsx:1436-1511</t>
  </si>
  <si>
    <t>STF-004</t>
  </si>
  <si>
    <t>Staff panel &gt; Payroll tab</t>
  </si>
  <si>
    <t>Non-owner guard</t>
  </si>
  <si>
    <t>A non-owner who reaches the Payroll tab sees "Payroll is not yours to see"</t>
  </si>
  <si>
    <t>Master etc.</t>
  </si>
  <si>
    <t>frontend/src/features/staff/StaffPanel.jsx:1500-1507</t>
  </si>
  <si>
    <t>STF-005</t>
  </si>
  <si>
    <t>Team (roster)</t>
  </si>
  <si>
    <t>Load roster data</t>
  </si>
  <si>
    <t>Loads in parallel: tailors, designers, staff profiles, deposits (Owner only), active advances (Owner only) and today's attendance. A failed load shows an error banner</t>
  </si>
  <si>
    <t>GET /api/tailors/; GET /api/design-studio/designers/; GET /api/staff/profiles/; GET /api/payroll/deposits/; GET /api/payroll/advances/?active=true; GET /api/staff/attendance/?date=YYYY-MM-DD</t>
  </si>
  <si>
    <t>frontend/src/features/staff/StaffPanel.jsx:873-898</t>
  </si>
  <si>
    <t>STF-006</t>
  </si>
  <si>
    <t>KPI stat cards</t>
  </si>
  <si>
    <t>Team size (roster + designers), Available now (n busy), Present today (n in now, from open sessions), Pay details added (x of total)</t>
  </si>
  <si>
    <t>frontend/src/features/staff/StaffPanel.jsx:998-1011</t>
  </si>
  <si>
    <t>STF-007</t>
  </si>
  <si>
    <t>Breakdown chips</t>
  </si>
  <si>
    <t>Chips for count by role (pluralised) and by work type (Full time/Part time/Contract/Apprentice)</t>
  </si>
  <si>
    <t>frontend/src/features/staff/StaffPanel.jsx:1016-1055</t>
  </si>
  <si>
    <t>STF-008</t>
  </si>
  <si>
    <t>Search</t>
  </si>
  <si>
    <t>Client-side filter on name + role. Placeholder mentions phone</t>
  </si>
  <si>
    <t>frontend/src/features/staff/StaffPanel.jsx:948-951,1062</t>
  </si>
  <si>
    <t>STF-009</t>
  </si>
  <si>
    <t>Add a team member button</t>
  </si>
  <si>
    <t>Opens the Add staff modal</t>
  </si>
  <si>
    <t>frontend/src/features/staff/StaffPanel.jsx:1063-1066,1385-1391</t>
  </si>
  <si>
    <t>STF-010</t>
  </si>
  <si>
    <t>Team: "Nobody on the team yet…". Staff viewing My details: "Your employment details have not been set up yet"</t>
  </si>
  <si>
    <t>frontend/src/features/staff/StaffPanel.jsx:1071-1075</t>
  </si>
  <si>
    <t>STF-011</t>
  </si>
  <si>
    <t>Roster table</t>
  </si>
  <si>
    <t>Columns: Team member (avatar, name, role; designers add design count and "no login yet"), Status, Contact (phone), Work type (employment type + joined date, or "Not added"), Pay and Advances (Owner only, when any row has pay), Action (Owner)</t>
  </si>
  <si>
    <t>frontend/src/features/staff/StaffPanel.jsx:1091-1243</t>
  </si>
  <si>
    <t>STF-012</t>
  </si>
  <si>
    <t>Live status badge</t>
  </si>
  <si>
    <t>Shows "Absent" if the member has no attendance today. Otherwise shows the stored Available (green) or Busy (amber). A designer shows Present/Absent based on their linked attendance row</t>
  </si>
  <si>
    <t>frontend/src/features/staff/StaffPanel.jsx:1141-1158</t>
  </si>
  <si>
    <t>STF-013</t>
  </si>
  <si>
    <t>Pay and advances columns</t>
  </si>
  <si>
    <t>Hourly rate/hr; deposit remaining, "Deposit recovered" or the agreed deposit; outstanding advance total and count. Money is hidden for Master because the server strips it</t>
  </si>
  <si>
    <t>client-only (data from profiles/deposits/advances)</t>
  </si>
  <si>
    <t>frontend/src/features/staff/StaffPanel.jsx:1185-1209</t>
  </si>
  <si>
    <t>STF-014</t>
  </si>
  <si>
    <t>Row actions menu (⋯)</t>
  </si>
  <si>
    <t>Edit, Credentials, Delete. Tapping the name also opens Edit</t>
  </si>
  <si>
    <t>frontend/src/features/staff/StaffPanel.jsx:1118-1128,1222-1229</t>
  </si>
  <si>
    <t>STF-015</t>
  </si>
  <si>
    <t>Expand pay/advances row</t>
  </si>
  <si>
    <t>Chevron toggles a detail row: hourly rate, deposit, weekly deduction; deposit ledger summary (Agreed/Recovered/Remaining, "fully recovered"); list of outstanding advances (issued date/amount, recovered, outstanding, per-week recovery)</t>
  </si>
  <si>
    <t>frontend/src/features/staff/StaffPanel.jsx:1231-1364</t>
  </si>
  <si>
    <t>STF-016</t>
  </si>
  <si>
    <t>Self "My details" view</t>
  </si>
  <si>
    <t>A non-team user sees only their own profile row(s) from /staff/profiles/. No actions</t>
  </si>
  <si>
    <t>Tailor &amp; production roles/Designer</t>
  </si>
  <si>
    <t>GET /api/staff/profiles/</t>
  </si>
  <si>
    <t>frontend/src/features/staff/StaffPanel.jsx:942-947,1489</t>
  </si>
  <si>
    <t>STF-017</t>
  </si>
  <si>
    <t>Add/Edit staff modal</t>
  </si>
  <si>
    <t>Basic details</t>
  </si>
  <si>
    <t>Name (required, max 100, nameError). Profile photo via Choose file or Camera, image validation (images only, max 8 MB) and preview. Mobile (10 digits, optional). Email for login (optional; leave blank for no login). Specialty/Specialisation (max 100). Status Available/Busy (edit only, not designers)</t>
  </si>
  <si>
    <t>see save rows</t>
  </si>
  <si>
    <t>frontend/src/features/staff/StaffPanel.jsx:271-621</t>
  </si>
  <si>
    <t>STF-018</t>
  </si>
  <si>
    <t>Role picker</t>
  </si>
  <si>
    <t>Roles: Tailor, Master, Maggam Master, Karigar, Maggam Karigar, Packaging Staff, QC Staff, Designer (add only), plus custom roles already on the roster and "Other (add a custom role)". Custom role is a text field (max 50) and is required when chosen. Designer role is locked when editing a designer, and a floor member can't be switched to Designer. Hint text per role</t>
  </si>
  <si>
    <t>frontend/src/features/staff/StaffPanel.jsx:334-338,579-604; frontend/src/constants/roles.js</t>
  </si>
  <si>
    <t>STF-019</t>
  </si>
  <si>
    <t>Save floor staff</t>
  </si>
  <si>
    <t>Creates/updates the Tailor record (multipart when a photo is attached). An email makes the server create a login and return bootstrap_password</t>
  </si>
  <si>
    <t>POST /api/tailors/; PATCH /api/tailors/{id}/</t>
  </si>
  <si>
    <t>frontend/src/features/staff/StaffPanel.jsx:391-402</t>
  </si>
  <si>
    <t>STF-020</t>
  </si>
  <si>
    <t>Save designer</t>
  </si>
  <si>
    <t>Uploads the photo first, then creates/updates the Designer (name, phone, email, specialisation, profile_image). If an email is given and there is no login yet, creates one</t>
  </si>
  <si>
    <t>POST /api/boutique-designs/upload-image/; POST /api/design-studio/designers/; PATCH /api/design-studio/designers/{id}/; POST /api/design-studio/designers/{id}/create-login/</t>
  </si>
  <si>
    <t>frontend/src/features/staff/StaffPanel.jsx:373-390</t>
  </si>
  <si>
    <t>STF-021</t>
  </si>
  <si>
    <t>Employment terms section</t>
  </si>
  <si>
    <t>Employment type; hourly rate (≤10000); joined on; left on (min = joined); expected weekly hours (≤168, 1 decimal); security deposit; weekly deduction; emergency contact (max 150); address; notes (dictation textarea). Optional. Validation: amounts valid, weekly deduction ≤ deposit, leave date ≥ join date. Blank fields are dropped from the payload</t>
  </si>
  <si>
    <t>see next row</t>
  </si>
  <si>
    <t>frontend/src/features/staff/StaffPanel.jsx:81-182</t>
  </si>
  <si>
    <t>STF-022</t>
  </si>
  <si>
    <t>Save employment profile</t>
  </si>
  <si>
    <t>Finds the existing StaffProfile by staff or designer id and PATCHes it, or POSTs a new one when any term is filled. The server writes a deposit-agreement ledger row whenever the deposit changes</t>
  </si>
  <si>
    <t>GET/POST /api/staff/profiles/; PATCH /api/staff/profiles/{id}/</t>
  </si>
  <si>
    <t>frontend/src/features/staff/StaffPanel.jsx:407-422; apps/staff/views.py:118-172</t>
  </si>
  <si>
    <t>STF-023</t>
  </si>
  <si>
    <t>Documents list</t>
  </si>
  <si>
    <t>Lists existing documents (thumbnail, or a PDF icon), type · label, number. View opens the file; Trash deletes it immediately</t>
  </si>
  <si>
    <t>Owner (staff can read own)</t>
  </si>
  <si>
    <t>GET /api/staff/documents/?staff= or ?designer=; DELETE /api/staff/documents/{id}/</t>
  </si>
  <si>
    <t>frontend/src/features/staff/StaffPanel.jsx:300-325,632-668</t>
  </si>
  <si>
    <t>STF-024</t>
  </si>
  <si>
    <t>Add document</t>
  </si>
  <si>
    <t>Type (Aadhaar, PAN, Driving licence, Voter ID, Bank passbook, Signed contract, Certificate, Other); number (cleaned and validated per type); label (max 120). File by dropzone or camera: JPG/PNG/PDF up to 10 MB. "Add document" queues it; queued docs upload on save. A typed number with no file blocks save</t>
  </si>
  <si>
    <t>POST /api/staff/documents/ (multipart: staff|designer, kind, number, label, file)</t>
  </si>
  <si>
    <t>frontend/src/features/staff/StaffPanel.jsx:326-358,424-438,670-717</t>
  </si>
  <si>
    <t>STF-025</t>
  </si>
  <si>
    <t>Account created screen</t>
  </si>
  <si>
    <t>After creating a login, shows the email and one-time password. Copy button (clipboard text with portal URL) and Share on WhatsApp (wa.me link with prefilled message). Done closes</t>
  </si>
  <si>
    <t>frontend/src/features/staff/StaffPanel.jsx:449-499</t>
  </si>
  <si>
    <t>STF-026</t>
  </si>
  <si>
    <t>Credentials dialog</t>
  </si>
  <si>
    <t>View login &amp; reset password</t>
  </si>
  <si>
    <t>Shows login email and a masked password. If there is no login, says to add an email via Edit. "Generate password" issues a new one (old one stops working and sessions end), shown once with Copy and WhatsApp share</t>
  </si>
  <si>
    <t>POST /api/tailors/{id}/reset-password/; POST /api/design-studio/designers/{id}/reset-password/</t>
  </si>
  <si>
    <t>frontend/src/features/staff/StaffPanel.jsx:730-824; crm_api/views.py:581-597</t>
  </si>
  <si>
    <t>STF-027</t>
  </si>
  <si>
    <t>Delete member dialog</t>
  </si>
  <si>
    <t>Delete staff/designer</t>
  </si>
  <si>
    <t>Confirmation explains: removed from the team, sign-in stops (account deactivated, token deleted), employment details and documents deleted; orders, attendance and pay records kept. Cannot be undone. Shows an inline error on failure</t>
  </si>
  <si>
    <t>DELETE /api/tailors/{id}/; DELETE /api/design-studio/designers/{id}/</t>
  </si>
  <si>
    <t>frontend/src/features/staff/StaffPanel.jsx:826-854,1410-1430; crm_api/views.py:422-457</t>
  </si>
  <si>
    <t>STF-028</t>
  </si>
  <si>
    <t>Issue advance modal</t>
  </si>
  <si>
    <t>Issue salary advance</t>
  </si>
  <si>
    <t>Amount (required, &gt;0); recover per week (≤ amount); given on (date, not in future, default today); reason (max 255). Recovery is taken from payroll after the deposit, oldest first. Roster staff only, not designers</t>
  </si>
  <si>
    <t>POST /api/payroll/advances/</t>
  </si>
  <si>
    <t>frontend/src/features/staff/StaffPanel.jsx:184-253,1214-1219,1323-1328,1375-1383</t>
  </si>
  <si>
    <t>STF-029</t>
  </si>
  <si>
    <t>Advances (API only)</t>
  </si>
  <si>
    <t>Edit/cancel advance</t>
  </si>
  <si>
    <t>The API supports getAdvance, updateAdvance (weekly recovery) and cancelAdvance (reason required). No UI calls them</t>
  </si>
  <si>
    <t>GET/PATCH /api/payroll/advances/{id}/; POST /api/payroll/advances/{id}/cancel/</t>
  </si>
  <si>
    <t>frontend/src/services/api.js:2135-2142; apps/payroll/views.py:340-351</t>
  </si>
  <si>
    <t>STF-030</t>
  </si>
  <si>
    <t>Deposit ledger (API only)</t>
  </si>
  <si>
    <t>Per-staff deposit ledger</t>
  </si>
  <si>
    <t>GET deposits/{staffId} returns one deposit with its full ledger. No UI uses it (the roster only reads the list)</t>
  </si>
  <si>
    <t>GET /api/payroll/deposits/{staff_id}/</t>
  </si>
  <si>
    <t>frontend/src/services/api.js:2131; apps/payroll/views.py:261</t>
  </si>
  <si>
    <t>STF-031</t>
  </si>
  <si>
    <t>Tasks tab (TeamTasks)</t>
  </si>
  <si>
    <t>Steps (count for the day), In progress, Completed, On the floor (hours clocked that day)</t>
  </si>
  <si>
    <t>All with staff tab</t>
  </si>
  <si>
    <t>GET /api/orders/; GET /api/staff/attendance/?date=&amp;staff=</t>
  </si>
  <si>
    <t>frontend/src/features/staff/TeamTasks.jsx:54-86,131-138</t>
  </si>
  <si>
    <t>STF-032</t>
  </si>
  <si>
    <t>Filters</t>
  </si>
  <si>
    <t>Team member dropdown (Everyone or a person; Owner/Master only, others are fixed to self). Date picker (default today) with an All days / Today toggle. State segmented control: All, Not started, In progress, Completed</t>
  </si>
  <si>
    <t>Owner/Master (member filter); All</t>
  </si>
  <si>
    <t>frontend/src/features/staff/TeamTasks.jsx:141-163</t>
  </si>
  <si>
    <t>STF-033</t>
  </si>
  <si>
    <t>Per-person work log</t>
  </si>
  <si>
    <t>One card per person: avatar, role · specialty, rating stars, Busy/Available badge, hours that day with first check-in → last check-out (or "still in"), session count, steps/completed counts. Table: Step (and "done by X" when someone else performed it), Order ref + customer, Garment, State, Started, Finished, Time spent. Empty-state text when nothing matches</t>
  </si>
  <si>
    <t>frontend/src/features/staff/TeamTasks.jsx:95-121,174-243</t>
  </si>
  <si>
    <t>ATT-001</t>
  </si>
  <si>
    <t>Attendance</t>
  </si>
  <si>
    <t>My day card</t>
  </si>
  <si>
    <t>Self check-in with GPS</t>
  </si>
  <si>
    <t>"Check in" button. Reads browser geolocation (high accuracy, 10 s timeout, 15 s hard give-up). Denied or unavailable location still checks in, with no location. The server stamps the time. Fails if already checked in</t>
  </si>
  <si>
    <t>All staff incl. Designer (NOT_STAFF hides the card)</t>
  </si>
  <si>
    <t>POST /api/staff/attendance/check-in/ {location:{latitude,longitude,accuracy}}</t>
  </si>
  <si>
    <t>frontend/src/features/staff/Attendance.jsx:127-144,236-258; apps/staff/views.py:436-458</t>
  </si>
  <si>
    <t>ATT-002</t>
  </si>
  <si>
    <t>Current state</t>
  </si>
  <si>
    <t>Loads the current state: NOT_CHECKED_IN, WORKING (green dot, "since HH:MM · Xh Ym so far" ticking every 60 s, plus location tag) or CHECKED_OUT (in → out, location tag, today's total). An error banner shows if the load fails</t>
  </si>
  <si>
    <t>GET /api/staff/attendance/current/</t>
  </si>
  <si>
    <t>frontend/src/features/staff/Attendance.jsx:176-232,260-301</t>
  </si>
  <si>
    <t>ATT-003</t>
  </si>
  <si>
    <t>Check out</t>
  </si>
  <si>
    <t>Red "Check out" button. The server stamps the time and computes minutes</t>
  </si>
  <si>
    <t>POST /api/staff/attendance/check-out/</t>
  </si>
  <si>
    <t>frontend/src/features/staff/Attendance.jsx:273-286; apps/staff/attendance.py:161-178</t>
  </si>
  <si>
    <t>ATT-004</t>
  </si>
  <si>
    <t>Start another session</t>
  </si>
  <si>
    <t>After check-out the user can check in again (multiple sessions per day, GPS again)</t>
  </si>
  <si>
    <t>POST /api/staff/attendance/check-in/</t>
  </si>
  <si>
    <t>frontend/src/features/staff/Attendance.jsx:303-313</t>
  </si>
  <si>
    <t>ATT-005</t>
  </si>
  <si>
    <t>Location tag</t>
  </si>
  <si>
    <t>Shop-radius flag</t>
  </si>
  <si>
    <t>Self check-ins show "At shop" (distance), "Outside shop · N m/km" in red (title shows ±accuracy), or "No location". The server computes haversine distance from the pinned shop and flags it if beyond shop_radius_m</t>
  </si>
  <si>
    <t>All (owner reads)</t>
  </si>
  <si>
    <t>computed server-side on check-in</t>
  </si>
  <si>
    <t>frontend/src/features/staff/Attendance.jsx:146-167; apps/staff/attendance.py:60-91</t>
  </si>
  <si>
    <t>ATT-006</t>
  </si>
  <si>
    <t>Settings &gt; Boutique</t>
  </si>
  <si>
    <t>Pin shop location &amp; radius</t>
  </si>
  <si>
    <t>"Use my current location" saves shop lat/lng from GPS (20 s timeout; messages for denied or failed). Clear removes it. Check-in radius field takes 20-5000 m in steps of 10, default 150</t>
  </si>
  <si>
    <t>POST /api/boutique-settings/ (multipart shop_latitude, shop_longitude, shop_radius_m)</t>
  </si>
  <si>
    <t>frontend/src/App.jsx:538-597,6836-6842,3426</t>
  </si>
  <si>
    <t>ATT-007</t>
  </si>
  <si>
    <t>Attendance tab</t>
  </si>
  <si>
    <t>"Today's Status &amp; Roster" (Owner/Master only) and "Monthly Attendance Log" (everyone; default for non-team)</t>
  </si>
  <si>
    <t>frontend/src/features/staff/Attendance.jsx:1350,1381-1428</t>
  </si>
  <si>
    <t>ATT-008</t>
  </si>
  <si>
    <t>Today's Status &amp; Roster</t>
  </si>
  <si>
    <t>Period toggle Day/Week/Month</t>
  </si>
  <si>
    <t>Day and Week show floor cards. Month shows the muster grid. Loads the roster (including designers' attendance rows) and sessions for the range; day marks only for Month</t>
  </si>
  <si>
    <t>GET /api/tailors/?attendance=1; GET /api/staff/attendance/?since=&amp;until=; GET /api/staff/day-marks/?since=&amp;until=</t>
  </si>
  <si>
    <t>frontend/src/features/staff/Attendance.jsx:46-73,1352-1368,1432-1475</t>
  </si>
  <si>
    <t>ATT-009</t>
  </si>
  <si>
    <t>Summary tiles</t>
  </si>
  <si>
    <t>Day: Present today, Working now, Checked out, Not in. Week/Month: Working now, With hours, No hours, Total hours</t>
  </si>
  <si>
    <t>frontend/src/features/staff/Attendance.jsx:494-529</t>
  </si>
  <si>
    <t>ATT-010</t>
  </si>
  <si>
    <t>Per-person floor cards</t>
  </si>
  <si>
    <t>Initials, name, role, status pill (Working / Checked out / Not in; ranged views show N days). Day: check-in time + location tag, check-out time, hours. Week: days, sessions, total hours</t>
  </si>
  <si>
    <t>frontend/src/features/staff/Attendance.jsx:546-711</t>
  </si>
  <si>
    <t>ATT-011</t>
  </si>
  <si>
    <t>Record attendance (manual entry)</t>
  </si>
  <si>
    <t>Staff picker; check-in datetime (required, not future); check-out (optional, after check-in, not future); note. Saved with source OWNER. Refused if the person already has an open session and no check-out is given</t>
  </si>
  <si>
    <t>POST /api/staff/attendance/record/ {staff, check_in, check_out, note}</t>
  </si>
  <si>
    <t>frontend/src/features/staff/Attendance.jsx:403-471,531-537; apps/staff/views.py:478-522</t>
  </si>
  <si>
    <t>ATT-012</t>
  </si>
  <si>
    <t>Correct entry</t>
  </si>
  <si>
    <t>"Correct entry" on a person's latest session. Edit check-in/check-out (not future, out after in); reason required. Original times are kept; who and why are logged</t>
  </si>
  <si>
    <t>POST /api/staff/attendance/{id}/correct/ {check_in, check_out, reason}</t>
  </si>
  <si>
    <t>frontend/src/features/staff/Attendance.jsx:329-401,686-705; apps/staff/views.py:524-562</t>
  </si>
  <si>
    <t>ATT-013</t>
  </si>
  <si>
    <t>Muster grid (Month)</t>
  </si>
  <si>
    <t>Day marks: leave / weekly off</t>
  </si>
  <si>
    <t>Month grid per person × day. Cells: P (present from sessions), L (leave), WO (weekly off), A (absent), blank for future days. Weekend headers are tinted. Last column counts present days. Owner taps a non-P past cell to cycle A→Leave→Weekly off→(delete)→A. Errors are ignored silently</t>
  </si>
  <si>
    <t>Owner (Master view-only)</t>
  </si>
  <si>
    <t>POST /api/staff/day-marks/ {staff,date,kind:LEAVE|WEEKLY_OFF} (upsert); DELETE /api/staff/day-marks/{id}/</t>
  </si>
  <si>
    <t>frontend/src/features/staff/Attendance.jsx:836-989; apps/staff/views.py:936-982</t>
  </si>
  <si>
    <t>ATT-014</t>
  </si>
  <si>
    <t>Monthly Attendance Log</t>
  </si>
  <si>
    <t>Own monthly log</t>
  </si>
  <si>
    <t>Month picker (YYYY-MM). Rows per session up to today: Date, Status (Present, or WFH if note/reason contains "wfh"), Entry/Exit time (HH:MM:SS), Remarks + location tag. Weekdays with no session show Absent (weekends skipped). Present/WFH count chips. Text search with clear (x). Filtered to the caller's own staff id</t>
  </si>
  <si>
    <t>GET /api/staff/attendance/current/; GET /api/staff/attendance/?since=&amp;until=&amp;staff=</t>
  </si>
  <si>
    <t>frontend/src/features/staff/Attendance.jsx:991-1337</t>
  </si>
  <si>
    <t>ATT-015</t>
  </si>
  <si>
    <t>Weekly timesheet (built, not mounted)</t>
  </si>
  <si>
    <t>Weekly timesheet</t>
  </si>
  <si>
    <t>Staff picker (team) and week-of date snapped to Monday. Week total, open-session warning, session list with source (Self / Entered by owner / From start of work) and "corrected", plus a Correct button. The component exists but Attendance never renders it</t>
  </si>
  <si>
    <t>Owner/Master/self</t>
  </si>
  <si>
    <t>GET /api/staff/timesheet/?staff=&amp;week=</t>
  </si>
  <si>
    <t>frontend/src/features/staff/Attendance.jsx:716-833; apps/staff/views.py:565-623</t>
  </si>
  <si>
    <t>ATT-016</t>
  </si>
  <si>
    <t>Auto check-in from work</t>
  </si>
  <si>
    <t>Starting a stage (IN_PROGRESS) with no session that day opens a session at the start time, source WORK ("From start of work")</t>
  </si>
  <si>
    <t>System (any worker)</t>
  </si>
  <si>
    <t>side effect of POST /api/orders/{id}/transition/</t>
  </si>
  <si>
    <t>domains/orders/services.py:798-805; apps/staff/attendance.py:213-240</t>
  </si>
  <si>
    <t>ATT-017</t>
  </si>
  <si>
    <t>Auto-close stale sessions</t>
  </si>
  <si>
    <t>Sessions open more than 12 h are closed at check_in+12 h (flag auto_checked_out). Runs on every check-in/record for that person and from an hourly cron management command across all tenants</t>
  </si>
  <si>
    <t>manage.py close_stale_attendance</t>
  </si>
  <si>
    <t>apps/staff/attendance.py:25-30,124-158; apps/staff/management/commands/close_stale_attendance.py:1-39</t>
  </si>
  <si>
    <t>PRL-001</t>
  </si>
  <si>
    <t>Payroll</t>
  </si>
  <si>
    <t>Payroll tab</t>
  </si>
  <si>
    <t>Pick payroll week</t>
  </si>
  <si>
    <t>Date input snapped to the Monday. Finds the period whose period_start matches and loads its detail</t>
  </si>
  <si>
    <t>GET /api/payroll/periods/; GET /api/payroll/periods/{id}/</t>
  </si>
  <si>
    <t>frontend/src/features/staff/Payroll.jsx:431-460,512-524</t>
  </si>
  <si>
    <t>PRL-002</t>
  </si>
  <si>
    <t>Draft payroll</t>
  </si>
  <si>
    <t>With no period: explains drafting, then "Draft payroll for this week" builds it from completed attendance × current hourly rate. Refused if the week is already approved</t>
  </si>
  <si>
    <t>POST /api/payroll/periods/generate/ {week}</t>
  </si>
  <si>
    <t>frontend/src/features/staff/Payroll.jsx:530-545; apps/payroll/services.py:290-301</t>
  </si>
  <si>
    <t>PRL-003</t>
  </si>
  <si>
    <t>Period summary</t>
  </si>
  <si>
    <t>Week label, total gross, staff count, total hours; less security deposit, less advance recovery, net payable; "x of y paid"; status pill Draft/Approved/Paid</t>
  </si>
  <si>
    <t>frontend/src/features/staff/Payroll.jsx:548-598</t>
  </si>
  <si>
    <t>PRL-004</t>
  </si>
  <si>
    <t>Warning banners</t>
  </si>
  <si>
    <t>Approved &amp; locked; N staff blocked (missing rate or overlapping attendance); N open sessions not included</t>
  </si>
  <si>
    <t>frontend/src/features/staff/Payroll.jsx:600-611</t>
  </si>
  <si>
    <t>PRL-005</t>
  </si>
  <si>
    <t>Recalculate</t>
  </si>
  <si>
    <t>Regenerates the draft (not shown once approved)</t>
  </si>
  <si>
    <t>POST /api/payroll/periods/generate/</t>
  </si>
  <si>
    <t>frontend/src/features/staff/Payroll.jsx:615-620</t>
  </si>
  <si>
    <t>PRL-006</t>
  </si>
  <si>
    <t>Approve payroll</t>
  </si>
  <si>
    <t>Disabled while blocked. Confirm dialog shows the week, staff count and total gross, and warns it locks. The server refuses with blockers, nothing to approve, or deposit/advance changes since drafting (regenerate)</t>
  </si>
  <si>
    <t>POST /api/payroll/periods/{id}/approve/</t>
  </si>
  <si>
    <t>frontend/src/features/staff/Payroll.jsx:397-429,475-487,621-627; apps/payroll/services.py:340-395</t>
  </si>
  <si>
    <t>PRL-007</t>
  </si>
  <si>
    <t>Records list</t>
  </si>
  <si>
    <t>Card per staff: name, role, net (gross), status, hours, rate, deposit/advance deductions, net payable, "Paid ₹ · method", blocking reason (No hourly rate set / Overlapping attendance), open-session warning. Tap to open</t>
  </si>
  <si>
    <t>frontend/src/features/staff/Payroll.jsx:630-741</t>
  </si>
  <si>
    <t>PRL-008</t>
  </si>
  <si>
    <t>Payslip detail</t>
  </si>
  <si>
    <t>Record detail</t>
  </si>
  <si>
    <t>Hours worked (+minutes), rate used (snapshot), gross. Security deposit block (scheduled, recovered, unrecovered, owed before/after, net before other deductions). Advance recovery block. Net computation. Payment recorded info. Problem banners. "Attendance behind this total" session list with source/corrected. Back button</t>
  </si>
  <si>
    <t>client-only (from period detail)</t>
  </si>
  <si>
    <t>frontend/src/features/staff/Payroll.jsx:163-395</t>
  </si>
  <si>
    <t>PRL-009</t>
  </si>
  <si>
    <t>Record payment (payout)</t>
  </si>
  <si>
    <t>Only when status is APPROVED. Dialog: method Cash/Bank transfer, reference (voucher/UTR). There is no amount field (the server pays the approved net). Locks the payslip</t>
  </si>
  <si>
    <t>POST /api/payroll/records/{id}/payout/ {method, reference}</t>
  </si>
  <si>
    <t>frontend/src/features/staff/Payroll.jsx:114-160,168-180,334-341</t>
  </si>
  <si>
    <t>PERF-001</t>
  </si>
  <si>
    <t>Performance</t>
  </si>
  <si>
    <t>Performance tab</t>
  </si>
  <si>
    <t>From/To dates (default last 30 days). Role filter (team only, built from results)</t>
  </si>
  <si>
    <t>All (role filter Owner/Master)</t>
  </si>
  <si>
    <t>GET /api/staff/performance/?start=&amp;end=&amp;role=</t>
  </si>
  <si>
    <t>frontend/src/features/staff/Performance.jsx:429-461,496-516</t>
  </si>
  <si>
    <t>PERF-002</t>
  </si>
  <si>
    <t>Team KPI list</t>
  </si>
  <si>
    <t>Card per staff with employment details: name, role, latest review rating + status (or "No review"), up to 4 headline KPIs ("No data" shown distinctly from zero). Banner when QC data is unavailable. Staff see only themselves</t>
  </si>
  <si>
    <t>All (team for Owner/Master)</t>
  </si>
  <si>
    <t>GET /api/staff/performance/; GET /api/staff/reviews/</t>
  </si>
  <si>
    <t>frontend/src/features/staff/Performance.jsx:520-593; apps/staff/views.py:821-891</t>
  </si>
  <si>
    <t>PERF-003</t>
  </si>
  <si>
    <t>Staff detail</t>
  </si>
  <si>
    <t>Metric groups</t>
  </si>
  <si>
    <t>Attendance (hours, days, avg/day); Productivity (garments, stages, completed, completion %); Timeliness (on time, overdue, on-time %); Quality (inspections, checked, QC pass %, rework %); Reliability (outstanding, overdue open, consistency); Design work for designers (assigned, approved, approval %, on-time %). "Not employed during this period" note</t>
  </si>
  <si>
    <t>frontend/src/features/staff/Performance.jsx:263-325</t>
  </si>
  <si>
    <t>PERF-004</t>
  </si>
  <si>
    <t>Reviews list</t>
  </si>
  <si>
    <t>Period, type, role snapshot, overall star rating, status (Draft/Finalised/Acknowledged), five component ratings, strengths/improvements/goals. Non-owners only receive their own FINAL or ACKNOWLEDGED reviews</t>
  </si>
  <si>
    <t>GET /api/staff/reviews/</t>
  </si>
  <si>
    <t>frontend/src/features/staff/Performance.jsx:338-411; apps/staff/views.py:643-683</t>
  </si>
  <si>
    <t>PERF-005</t>
  </si>
  <si>
    <t>Review form</t>
  </si>
  <si>
    <t>Create review</t>
  </si>
  <si>
    <t>Period type (Weekly/Monthly/Quarterly/Custom); From/To (not future, end ≥ start). Ratings 1-5 for Productivity, Quality, Timeliness, Attendance, Reliability (blank = not rated). Strengths, Areas to improve, Goals, Notes (dictation, max 2000). Overall = average of the given ratings</t>
  </si>
  <si>
    <t>POST /api/staff/reviews/</t>
  </si>
  <si>
    <t>frontend/src/features/staff/Performance.jsx:150-261,330-335</t>
  </si>
  <si>
    <t>PERF-006</t>
  </si>
  <si>
    <t>Edit draft</t>
  </si>
  <si>
    <t>Edit ratings and text of a DRAFT (period not editable). Refused once finalised</t>
  </si>
  <si>
    <t>PATCH /api/staff/reviews/{id}/</t>
  </si>
  <si>
    <t>frontend/src/features/staff/Performance.jsx:386-391; apps/staff/views.py:685-704</t>
  </si>
  <si>
    <t>PERF-007</t>
  </si>
  <si>
    <t>Finalise review</t>
  </si>
  <si>
    <t>Freezes the review plus a KPI snapshot and computes the overall rating. 409 if already final</t>
  </si>
  <si>
    <t>POST /api/staff/reviews/{id}/finalise/</t>
  </si>
  <si>
    <t>frontend/src/features/staff/Performance.jsx:392-397; apps/staff/views.py:713-766</t>
  </si>
  <si>
    <t>PERF-008</t>
  </si>
  <si>
    <t>Acknowledge review</t>
  </si>
  <si>
    <t>"I have read this" on a FINAL review. Only the reviewed person, and only once</t>
  </si>
  <si>
    <t>Tailor &amp; production roles/Master/Designer (own)</t>
  </si>
  <si>
    <t>POST /api/staff/reviews/{id}/acknowledge/</t>
  </si>
  <si>
    <t>frontend/src/features/staff/Performance.jsx:400-406; apps/staff/views.py:768-790</t>
  </si>
  <si>
    <t>PERM-001</t>
  </si>
  <si>
    <t>Roles &amp; Permissions</t>
  </si>
  <si>
    <t>Roles &amp; Permissions tab</t>
  </si>
  <si>
    <t>Choose the Admin</t>
  </si>
  <si>
    <t>One person at a time (staff or designer) from a dropdown, or "No admin". Shows the chosen card (name, role · Admin). Info note: everyone keeps their role and the owner keeps full access; the change takes effect at the Admin's next sign-in</t>
  </si>
  <si>
    <t>GET /api/tailors/; GET /api/design-studio/designers/; GET /api/boutique-settings/admin-access/</t>
  </si>
  <si>
    <t>frontend/src/features/staff/RolePermissions.jsx:57-136</t>
  </si>
  <si>
    <t>PERM-002</t>
  </si>
  <si>
    <t>Tick Admin tasks</t>
  </si>
  <si>
    <t>Orders: create, edit, stage, delivery_date, payments, discounts, invoices, notify, deliver, cancel. Workshop: assign, reassign, move, materials, review, quality, alterations, track. Customers: add, edit, measurements, leads, history, message, import, delete. Per-section "Select all" (indeterminate) and ticked/total count</t>
  </si>
  <si>
    <t>frontend/src/features/staff/RolePermissions.jsx:15-48,162-199</t>
  </si>
  <si>
    <t>PERM-003</t>
  </si>
  <si>
    <t>Save admin access</t>
  </si>
  <si>
    <t>Save button (disabled when saved; shows "Saved"). Server validates the member exists and task names are known. PUT replaces the whole setting</t>
  </si>
  <si>
    <t>PUT /api/boutique-settings/admin-access/ {member:{kind:staff|designer,id}, tasks[]}</t>
  </si>
  <si>
    <t>frontend/src/features/staff/RolePermissions.jsx:76-86,151-153; crm_api/views.py:1886-1925; core/admin_access.py:69-88</t>
  </si>
  <si>
    <t>PERM-004</t>
  </si>
  <si>
    <t>Admin enforcement</t>
  </si>
  <si>
    <t>Admin task effects</t>
  </si>
  <si>
    <t>Login payload carries admin_tasks. Nav gains an "Admin" group with Orders/Workshop/Customers when tasks in that section exist. Tasks open specific API actions (ACTION_TASKS). workshop.assign/reassign makes the Admin assign as a Master; workshop.reassign lets them reassign stages held by others</t>
  </si>
  <si>
    <t>frontend/src/App.jsx:1500-1509,3692-3694; core/admin_access.py:26-66,125-141; crm_api/views.py:1181-1189</t>
  </si>
  <si>
    <t>PERM-005</t>
  </si>
  <si>
    <t>Modules per role (API only)</t>
  </si>
  <si>
    <t>Role → module toggles</t>
  </si>
  <si>
    <t>Owner-only GET/PATCH that merges per-role module flags (hasModule gates nav tabs like staff/todos/inventory). No screen in frontend/src calls it</t>
  </si>
  <si>
    <t>GET/PATCH /api/boutique-settings/role-modules/</t>
  </si>
  <si>
    <t>crm_api/views.py:1927-1990; frontend/src/App.jsx:1411-1442</t>
  </si>
  <si>
    <t>INVT-001</t>
  </si>
  <si>
    <t>Inventory</t>
  </si>
  <si>
    <t>Inventory tab entry</t>
  </si>
  <si>
    <t>Sidebar item "Inventory" in the Stock group; only Owner's nav lists it and it is hidden unless the boutique has the 'inventory' module (NAV_MODULE inventory). Also shown on phone bottom nav</t>
  </si>
  <si>
    <t>frontend/src/App.jsx:1461</t>
  </si>
  <si>
    <t>INVT-002</t>
  </si>
  <si>
    <t>Module gating of inventory screens</t>
  </si>
  <si>
    <t>canSeeTab/hasModule hides tab when user.modules lacks 'inventory'; server also refuses /api/inventory/* per module switch (inventory, inventory_catalog, inventory_suppliers, inventory_bom, inventory_reports)</t>
  </si>
  <si>
    <t>client-only (server middleware core/modules.py)</t>
  </si>
  <si>
    <t>frontend/src/App.jsx:1411</t>
  </si>
  <si>
    <t>INVT-003</t>
  </si>
  <si>
    <t>Dashboard (overview)</t>
  </si>
  <si>
    <t>Low-stock attention row</t>
  </si>
  <si>
    <t>Overview "attention" card shows "Low stock · N items" when dashboard att.low_stock&gt;0; tap jumps to Inventory tab</t>
  </si>
  <si>
    <t>GET /api/dashboard/</t>
  </si>
  <si>
    <t>frontend/src/App.jsx:4617</t>
  </si>
  <si>
    <t>INVT-004</t>
  </si>
  <si>
    <t>Inventory panel</t>
  </si>
  <si>
    <t>Page load (items+summary+options+suppliers)</t>
  </si>
  <si>
    <t>Loads item list (with filters), summary KPIs, category/unit options and suppliers in parallel; search is debounced 300ms; on failure shows error panel with Retry</t>
  </si>
  <si>
    <t>GET /api/inventory/items/ ; GET /api/inventory/items/summary/ ; GET /api/inventory/items/options/ ; GET /api/inventory/suppliers/</t>
  </si>
  <si>
    <t>frontend/src/features/inventory/InventoryPanel.jsx:97</t>
  </si>
  <si>
    <t>INVT-005</t>
  </si>
  <si>
    <t>KPI: Stock value</t>
  </si>
  <si>
    <t>Sum(current_stock x purchase_price) in INR with count of items tracked</t>
  </si>
  <si>
    <t>GET /api/inventory/items/summary/</t>
  </si>
  <si>
    <t>frontend/src/features/inventory/InventoryPanel.jsx:162</t>
  </si>
  <si>
    <t>INVT-006</t>
  </si>
  <si>
    <t>KPI: Out of stock</t>
  </si>
  <si>
    <t>Count of items where current_stock &lt;= reserved_stock; tapping switches to Items tab with "Reorder due only" filter on</t>
  </si>
  <si>
    <t>frontend/src/features/inventory/InventoryPanel.jsx:164</t>
  </si>
  <si>
    <t>INVT-007</t>
  </si>
  <si>
    <t>KPI: Reorder due</t>
  </si>
  <si>
    <t>Count of items at/below reserved+reorder_level (excluding out-of-stock); tap filters Items to reorder-due</t>
  </si>
  <si>
    <t>frontend/src/features/inventory/InventoryPanel.jsx:166</t>
  </si>
  <si>
    <t>INVT-008</t>
  </si>
  <si>
    <t>KPI: Dead stock</t>
  </si>
  <si>
    <t>Count of items with stock&gt;0 and no movement in 90 days; tap opens Reports tab</t>
  </si>
  <si>
    <t>frontend/src/features/inventory/InventoryPanel.jsx:168</t>
  </si>
  <si>
    <t>INVT-009</t>
  </si>
  <si>
    <t>Tab strip</t>
  </si>
  <si>
    <t>Seven tabs: Items, Catalogue, Locations, Recipes, Suppliers, Purchase list (order purchases), Reports</t>
  </si>
  <si>
    <t>frontend/src/features/inventory/InventoryPanel.jsx:175</t>
  </si>
  <si>
    <t>INVT-010</t>
  </si>
  <si>
    <t>Inventory panel header</t>
  </si>
  <si>
    <t>New item button</t>
  </si>
  <si>
    <t>Opens full item form (ItemFormModal) for a new item; button only rendered for role Owner</t>
  </si>
  <si>
    <t>frontend/src/features/inventory/InventoryPanel.jsx:152</t>
  </si>
  <si>
    <t>INVT-011</t>
  </si>
  <si>
    <t>Items tab</t>
  </si>
  <si>
    <t>Material group chips</t>
  </si>
  <si>
    <t>Chips All / Fabrics (FABRIC,LINING) / Accessories &amp; Trims (BORDER,EMBELLISHMENT,STITCHING,MAGGAM) / Packaging / Other (DESIGN,OTHER + unknown) with live counts; switching group clears an incompatible category filter</t>
  </si>
  <si>
    <t>frontend/src/features/inventory/InventoryPanel.jsx:339</t>
  </si>
  <si>
    <t>INVT-012</t>
  </si>
  <si>
    <t>Search items</t>
  </si>
  <si>
    <t>Text search on item name (server icontains), debounced</t>
  </si>
  <si>
    <t>GET /api/inventory/items/?search=</t>
  </si>
  <si>
    <t>frontend/src/features/inventory/InventoryPanel.jsx:391</t>
  </si>
  <si>
    <t>INVT-013</t>
  </si>
  <si>
    <t>Category filter</t>
  </si>
  <si>
    <t>Dropdown of categories (restricted to the selected group)</t>
  </si>
  <si>
    <t>GET /api/inventory/items/?category=</t>
  </si>
  <si>
    <t>frontend/src/features/inventory/InventoryPanel.jsx:399</t>
  </si>
  <si>
    <t>INVT-014</t>
  </si>
  <si>
    <t>Reorder due only filter</t>
  </si>
  <si>
    <t>Checkbox; server filter current_stock &lt;= reserved_stock + reorder_level</t>
  </si>
  <si>
    <t>GET /api/inventory/items/?needs_reorder=true</t>
  </si>
  <si>
    <t>frontend/src/features/inventory/InventoryPanel.jsx:403</t>
  </si>
  <si>
    <t>INVT-015</t>
  </si>
  <si>
    <t>Item card grid</t>
  </si>
  <si>
    <t>Card per item: photo (uploaded or generated default image), item code pill, category pill, name, warning icon when at reorder level, available qty+unit (red if &lt;=0, amber if reorder), colour, rack location, in-stock and reserved quantities; empty state "No items match these filters"</t>
  </si>
  <si>
    <t>GET /api/inventory/items/</t>
  </si>
  <si>
    <t>frontend/src/features/inventory/InventoryPanel.jsx:417</t>
  </si>
  <si>
    <t>INVT-016</t>
  </si>
  <si>
    <t>View photo (lightbox)</t>
  </si>
  <si>
    <t>Eye button opens full-screen image with name, code and colour caption; tap outside/X closes</t>
  </si>
  <si>
    <t>frontend/src/features/inventory/InventoryPanel.jsx:479</t>
  </si>
  <si>
    <t>INVT-017</t>
  </si>
  <si>
    <t>Stock history (ledger)</t>
  </si>
  <si>
    <t>History button opens modal with last 100 movements: date, movement type (colour-coded), linked order reference, quantity, previous-&gt;new balance, performed by (or System)</t>
  </si>
  <si>
    <t>GET /api/inventory/items/{id}/movements/</t>
  </si>
  <si>
    <t>frontend/src/features/inventory/InventoryPanel.jsx:262</t>
  </si>
  <si>
    <t>INVT-018</t>
  </si>
  <si>
    <t>Edit item</t>
  </si>
  <si>
    <t>Pencil button (Owner only) opens ItemFormModal pre-filled</t>
  </si>
  <si>
    <t>PATCH /api/inventory/items/{id}/</t>
  </si>
  <si>
    <t>frontend/src/features/inventory/InventoryPanel.jsx:442</t>
  </si>
  <si>
    <t>INVT-019</t>
  </si>
  <si>
    <t>Move stock button</t>
  </si>
  <si>
    <t>"Move" on every card opens the Stock movement modal</t>
  </si>
  <si>
    <t>frontend/src/features/inventory/InventoryPanel.jsx:466</t>
  </si>
  <si>
    <t>INVT-020</t>
  </si>
  <si>
    <t>Stock movement modal</t>
  </si>
  <si>
    <t>Record stock movement</t>
  </si>
  <si>
    <t>Choose movement: Stock In, Reserve, Release, Issue to production, Consume, Waste, Return, Damage, Scrap, Stock count (adjust); shows In stock/Reserved/Available header; help text per type; Remarks (max note length)</t>
  </si>
  <si>
    <t>POST /api/inventory/items/{id}/{stock-in|reserve|release|issue|consume|waste|return|damage|scrap|adjust}/</t>
  </si>
  <si>
    <t>frontend/src/features/inventory/InventoryPanel.jsx:515</t>
  </si>
  <si>
    <t>INVT-021</t>
  </si>
  <si>
    <t>Quantity validation</t>
  </si>
  <si>
    <t>Quantity required, decimal up to 3 places, no negatives, capped at LIMITS.quantity; zero allowed only for Stock count; server rejects taking more than in stock, reserving more than available, releasing more than reserved, location shortfalls</t>
  </si>
  <si>
    <t>(same as above)</t>
  </si>
  <si>
    <t>frontend/src/features/inventory/InventoryPanel.jsx:551</t>
  </si>
  <si>
    <t>INVT-022</t>
  </si>
  <si>
    <t>Stock count (adjust)</t>
  </si>
  <si>
    <t>Enter counted total; server records ADJUSTMENT of the difference (no-op if equal)</t>
  </si>
  <si>
    <t>POST /api/inventory/items/{id}/adjust/ (counted_quantity)</t>
  </si>
  <si>
    <t>apps/inventory/views.py:313</t>
  </si>
  <si>
    <t>INVT-023</t>
  </si>
  <si>
    <t>Against order (optional)</t>
  </si>
  <si>
    <t>For issue/consume/waste/reserve/release/return, pick an order (ref + customer) to link the movement for cost-per-order/consumption reports; orders lazy-loaded</t>
  </si>
  <si>
    <t>GET /api/orders/ ; order_id in movement body</t>
  </si>
  <si>
    <t>frontend/src/features/inventory/InventoryPanel.jsx:599</t>
  </si>
  <si>
    <t>INVT-024</t>
  </si>
  <si>
    <t>From location</t>
  </si>
  <si>
    <t>For stock-out movements, pick the location to deduct from (shows qty held per location) or default location</t>
  </si>
  <si>
    <t>GET /api/inventory/items/{id}/locations/ ; from_location in body</t>
  </si>
  <si>
    <t>frontend/src/features/inventory/InventoryPanel.jsx:616</t>
  </si>
  <si>
    <t>INVT-025</t>
  </si>
  <si>
    <t>Production stage (issue)</t>
  </si>
  <si>
    <t>Optional free-text stage key (e.g. pattern_cutting, max 100) when issuing to production</t>
  </si>
  <si>
    <t>stage_key in POST .../issue/</t>
  </si>
  <si>
    <t>frontend/src/features/inventory/InventoryPanel.jsx:630</t>
  </si>
  <si>
    <t>INVT-026</t>
  </si>
  <si>
    <t>Stock movement (API only)</t>
  </si>
  <si>
    <t>Goods receipt / customer return / supplier return / transfer</t>
  </si>
  <si>
    <t>Extra movement endpoints not exposed in the movement modal: goods-receipt (to_location), customer-return (order,to_location), supplier-return (from_location)</t>
  </si>
  <si>
    <t>POST /api/inventory/items/{id}/goods-receipt/ ; .../customer-return/ ; .../supplier-return/</t>
  </si>
  <si>
    <t>apps/inventory/views.py:240</t>
  </si>
  <si>
    <t>INVT-027</t>
  </si>
  <si>
    <t>Movement list with filters</t>
  </si>
  <si>
    <t>Read-only list of all stock movements filterable by item, order, movement_type</t>
  </si>
  <si>
    <t>GET /api/inventory/movements/?item=&amp;order=&amp;movement_type=</t>
  </si>
  <si>
    <t>apps/inventory/views.py:334</t>
  </si>
  <si>
    <t>INVT-028</t>
  </si>
  <si>
    <t>Item form modal</t>
  </si>
  <si>
    <t>Create / edit inventory item</t>
  </si>
  <si>
    <t>Fields: Name* (200), Category (resets unit), Unit (defaults per category, hint shown), Colour (50), Colour code (colour wheel + hex, server requires #RRGGBB), Selling price; item code auto-issued by server (CAT-/DSN- prefixes when linked); payload trims and uppercases code</t>
  </si>
  <si>
    <t>POST /api/inventory/items/ ; PATCH /api/inventory/items/{id}/</t>
  </si>
  <si>
    <t>frontend/src/features/inventory/ItemFormModal.jsx:50</t>
  </si>
  <si>
    <t>INVT-029</t>
  </si>
  <si>
    <t>Price/stock validations</t>
  </si>
  <si>
    <t>Purchase price, selling price, reorder level, minimum stock and opening stock must be valid non-negative amounts within limits; blank numbers sent as 0; server rejects catalogue item already stocked, non-stockable catalogue type, design already in inventory</t>
  </si>
  <si>
    <t>POST /api/inventory/items/</t>
  </si>
  <si>
    <t>frontend/src/features/inventory/ItemFormModal.jsx:114</t>
  </si>
  <si>
    <t>INVT-030</t>
  </si>
  <si>
    <t>Initial quantity in stock</t>
  </si>
  <si>
    <t>New items only: opening stock &gt;0 triggers an automatic Stock-in movement "Opening stock" after save; edit mode explains stock changes only via movements</t>
  </si>
  <si>
    <t>POST /api/inventory/items/{id}/stock-in/</t>
  </si>
  <si>
    <t>frontend/src/features/inventory/ItemFormModal.jsx:137</t>
  </si>
  <si>
    <t>INVT-031</t>
  </si>
  <si>
    <t>Photos upload</t>
  </si>
  <si>
    <t>Drag-drop/choose/camera multiple photos; uploaded before save (max 10 per request, image types only, 10MB each); thumbnails removable; first photo becomes main image</t>
  </si>
  <si>
    <t>POST /api/inventory/items/upload-images/ (multipart images)</t>
  </si>
  <si>
    <t>frontend/src/features/inventory/ItemFormModal.jsx:89</t>
  </si>
  <si>
    <t>INVT-032</t>
  </si>
  <si>
    <t>Where is it used (placements)</t>
  </si>
  <si>
    <t>Classify item by kind/variant and garment/section/slot placements (fabric taxonomy) so the order wizard offers it on the right garment part or as accessory</t>
  </si>
  <si>
    <t>GET /api/inventory/items/taxonomy/</t>
  </si>
  <si>
    <t>frontend/src/features/inventory/ItemFormModal.jsx:194</t>
  </si>
  <si>
    <t>INVT-033</t>
  </si>
  <si>
    <t>From Design Library a design can be stocked via the same ItemFormModal (linked design_asset; code DSN-xxx)</t>
  </si>
  <si>
    <t>frontend/src/features/designStudio/DesignLibrary.jsx:550</t>
  </si>
  <si>
    <t>INVT-034</t>
  </si>
  <si>
    <t>Stock item sheet (dormant)</t>
  </si>
  <si>
    <t>Quick "Stock an item" sheet</t>
  </si>
  <si>
    <t>Component exists (pick catalogue item by search or group/item selects, or custom name+category; photo; Quantity on shelf*, Purchase price*, Selling price* all &gt;0; GST% &lt;=100; colour, material, rack, supplier; Save &amp; stock another remembers last supplier/rack; already-stocked items refused) but no UI currently opens it</t>
  </si>
  <si>
    <t>POST /api/inventory/items/ then POST .../stock-in/</t>
  </si>
  <si>
    <t>frontend/src/features/inventory/StockItemSheet.jsx:29</t>
  </si>
  <si>
    <t>INVT-035</t>
  </si>
  <si>
    <t>Catalogue tab</t>
  </si>
  <si>
    <t>Browse purchasing catalogue sections</t>
  </si>
  <si>
    <t>Section tiles grouped by doc: "Maggam · Aari · Zardosi" and "Apparel ecosystem", each with item count; tap opens section</t>
  </si>
  <si>
    <t>GET /api/inventory/catalog/items/sections/</t>
  </si>
  <si>
    <t>frontend/src/features/inventory/CatalogBrowser.jsx:106</t>
  </si>
  <si>
    <t>INVT-036</t>
  </si>
  <si>
    <t>Search catalogue</t>
  </si>
  <si>
    <t>Search across all catalogue materials (debounced 250ms) with Back/All sections buttons</t>
  </si>
  <si>
    <t>GET /api/inventory/catalog/items/?search=&amp;section=</t>
  </si>
  <si>
    <t>frontend/src/features/inventory/CatalogBrowser.jsx:78</t>
  </si>
  <si>
    <t>INVT-037</t>
  </si>
  <si>
    <t>Only stockable filter</t>
  </si>
  <si>
    <t>Checkbox (default on) limits to stockable item types; rows show type (Material, Consumable, Tool, Machine, Asset, Document, System, Garment type)</t>
  </si>
  <si>
    <t>GET /api/inventory/catalog/items/?stockable=true</t>
  </si>
  <si>
    <t>frontend/src/features/inventory/CatalogBrowser.jsx:88</t>
  </si>
  <si>
    <t>INVT-038</t>
  </si>
  <si>
    <t>Stock this</t>
  </si>
  <si>
    <t>On a stockable row not yet in inventory, opens item form pre-filled (name, catalog link, sub-category, category, default unit); rows already stocked show "In your inventory", non-stockable show label</t>
  </si>
  <si>
    <t>POST /api/inventory/items/ (also API POST /api/inventory/catalog/items/{id}/stock/)</t>
  </si>
  <si>
    <t>frontend/src/features/inventory/CatalogBrowser.jsx:173</t>
  </si>
  <si>
    <t>INVT-039</t>
  </si>
  <si>
    <t>Locations tab</t>
  </si>
  <si>
    <t>Location cards</t>
  </si>
  <si>
    <t>Lists active stock locations with kind and default marker; select one to view stock held there (material, code, qty, unit)</t>
  </si>
  <si>
    <t>GET /api/inventory/locations/?active=true ; GET /api/inventory/locations/{id}/stock/</t>
  </si>
  <si>
    <t>frontend/src/features/inventory/LocationsTab.jsx:82</t>
  </si>
  <si>
    <t>INVT-040</t>
  </si>
  <si>
    <t>Add location</t>
  </si>
  <si>
    <t>Modal: Name* (120) and kind (Store/shop, Warehouse/godown, Workshop, Cutting unit, Embroidery unit, Tailor/Master, Finishing unit, Showroom)</t>
  </si>
  <si>
    <t>POST /api/inventory/locations/</t>
  </si>
  <si>
    <t>frontend/src/features/inventory/LocationsTab.jsx:175</t>
  </si>
  <si>
    <t>INVT-041</t>
  </si>
  <si>
    <t>Remove location</t>
  </si>
  <si>
    <t>Trash icon with confirm; refused if location still holds stock or is the default location</t>
  </si>
  <si>
    <t>DELETE /api/inventory/locations/{id}/</t>
  </si>
  <si>
    <t>frontend/src/features/inventory/LocationsTab.jsx:39</t>
  </si>
  <si>
    <t>INVT-042</t>
  </si>
  <si>
    <t>Transfer stock</t>
  </si>
  <si>
    <t>Shown when &gt;1 location; choose material (shows current qty per location), From, To, Quantity; validates all required, qty&gt;0 within limit, from != to; server checks source has enough</t>
  </si>
  <si>
    <t>GET /api/inventory/items/{id}/locations/ ; POST /api/inventory/items/{id}/transfer/</t>
  </si>
  <si>
    <t>frontend/src/features/inventory/LocationsTab.jsx:212</t>
  </si>
  <si>
    <t>INVT-043</t>
  </si>
  <si>
    <t>Locations (API only)</t>
  </si>
  <si>
    <t>Location stock listing</t>
  </si>
  <si>
    <t>Positive-quantity stock per item/location filterable</t>
  </si>
  <si>
    <t>GET /api/inventory/location-stock/?item=&amp;location=</t>
  </si>
  <si>
    <t>apps/inventory/views.py:517</t>
  </si>
  <si>
    <t>INVT-044</t>
  </si>
  <si>
    <t>Recipes tab</t>
  </si>
  <si>
    <t>Recipe (BOM) list</t>
  </si>
  <si>
    <t>List of recipes with material count and "superseded" marker; select to view lines (material image, name, role or "customer brings it", optional flag, quantity or formula, unit, waste %)</t>
  </si>
  <si>
    <t>GET /api/inventory/boms/</t>
  </si>
  <si>
    <t>frontend/src/features/inventory/RecipesTab.jsx:111</t>
  </si>
  <si>
    <t>INVT-045</t>
  </si>
  <si>
    <t>New / edit recipe sheet</t>
  </si>
  <si>
    <t>Name* (garment it makes, 150) plus lines: pick inventory material + qty (unit from item) or "Something the customer brings" description line; remove lines; validates name, &gt;=1 material, each qty &gt;0; role auto-derived from category/name; formula lines kept; server rejects duplicate version</t>
  </si>
  <si>
    <t>POST /api/inventory/boms/ ; PATCH /api/inventory/boms/{id}/ (nested lines)</t>
  </si>
  <si>
    <t>frontend/src/features/inventory/RecipesTab.jsx:204</t>
  </si>
  <si>
    <t>INVT-046</t>
  </si>
  <si>
    <t>Remove recipe</t>
  </si>
  <si>
    <t>Trash with confirm</t>
  </si>
  <si>
    <t>DELETE /api/inventory/boms/{id}/</t>
  </si>
  <si>
    <t>frontend/src/features/inventory/RecipesTab.jsx:77</t>
  </si>
  <si>
    <t>INVT-047</t>
  </si>
  <si>
    <t>Try it (formula calculator)</t>
  </si>
  <si>
    <t>Only when a line has a quantity formula; enter measurements name=value per line, Calculate shows required quantity per material (optional lines included)</t>
  </si>
  <si>
    <t>POST /api/inventory/boms/{id}/requirements/</t>
  </si>
  <si>
    <t>frontend/src/features/inventory/RecipesTab.jsx:314</t>
  </si>
  <si>
    <t>INVT-048</t>
  </si>
  <si>
    <t>Recipes (API only)</t>
  </si>
  <si>
    <t>BOM versioning and line CRUD</t>
  </si>
  <si>
    <t>New version copies lines and supersedes the active one (only active BOM can be versioned); separate BOM line create/delete; filters template/design/active</t>
  </si>
  <si>
    <t>POST /api/inventory/boms/{id}/new-version/ ; POST/DELETE /api/inventory/bom-lines/</t>
  </si>
  <si>
    <t>apps/inventory/views.py:575</t>
  </si>
  <si>
    <t>INVT-049</t>
  </si>
  <si>
    <t>Unit conversions (API only)</t>
  </si>
  <si>
    <t>Per-item unit conversion CRUD</t>
  </si>
  <si>
    <t>Define conversions used when BOM units differ from item unit (bom.convert); no screen</t>
  </si>
  <si>
    <t>GET/POST/PATCH/DELETE /api/inventory/unit-conversions/?item=</t>
  </si>
  <si>
    <t>apps/inventory/views.py:624</t>
  </si>
  <si>
    <t>INVT-050</t>
  </si>
  <si>
    <t>Suppliers tab</t>
  </si>
  <si>
    <t>Supplier list</t>
  </si>
  <si>
    <t>Cards with name, contact person, phone, email, GST number; empty state</t>
  </si>
  <si>
    <t>GET /api/inventory/suppliers/</t>
  </si>
  <si>
    <t>frontend/src/features/inventory/InventoryPanel.jsx:660</t>
  </si>
  <si>
    <t>INVT-051</t>
  </si>
  <si>
    <t>New supplier</t>
  </si>
  <si>
    <t>Modal: Name* (150), Contact person, Phone (landline allowed, 30), Email, GST number (uppercased, 15-char GSTIN validated); no edit/delete UI</t>
  </si>
  <si>
    <t>POST /api/inventory/suppliers/</t>
  </si>
  <si>
    <t>frontend/src/features/inventory/InventoryPanel.jsx:694</t>
  </si>
  <si>
    <t>INVT-052</t>
  </si>
  <si>
    <t>Purchase orders (API only)</t>
  </si>
  <si>
    <t>Purchase order lifecycle</t>
  </si>
  <si>
    <t>Create PO with lines (client fns getPurchaseOrders/createPurchaseOrder exist, no screen); receive lines partially or fully (qty&gt;0, not above outstanding, optional batch number) -&gt; stock PURCHASE movement, status PARTIALLY_RECEIVED/RECEIVED and received_date; committed PO totals feed Finance inventory cost</t>
  </si>
  <si>
    <t>GET/POST /api/inventory/purchase-orders/ ; POST /api/inventory/purchase-orders/{id}/receive/</t>
  </si>
  <si>
    <t>apps/inventory/views.py:351</t>
  </si>
  <si>
    <t>INVT-053</t>
  </si>
  <si>
    <t>Purchase list tab</t>
  </si>
  <si>
    <t>Items bought specially for one order (not stock): name, order ref, customer, garment, qty/unit, estimated or paid cost, needed-by date, supplier, received/used/left, notes, status badge (To purchase/Purchased/Received/Used/Cancelled); "Show used and cancelled" toggle</t>
  </si>
  <si>
    <t>GET /api/inventory/order-purchases/?open=1</t>
  </si>
  <si>
    <t>frontend/src/features/inventory/OrderPurchasesTab.jsx:21</t>
  </si>
  <si>
    <t>INVT-054</t>
  </si>
  <si>
    <t>Mark as purchased</t>
  </si>
  <si>
    <t>Step modal: actual cost (INR, &gt;=0), bought-from supplier, purchase date, bill/reference (100)</t>
  </si>
  <si>
    <t>POST /api/inventory/order-purchases/{id}/purchased/</t>
  </si>
  <si>
    <t>frontend/src/features/inventory/OrderPurchasesTab.jsx:133</t>
  </si>
  <si>
    <t>INVT-055</t>
  </si>
  <si>
    <t>Mark as received</t>
  </si>
  <si>
    <t>Quantity received (defaults to ordered qty, &gt;0) from To purchase or Purchased</t>
  </si>
  <si>
    <t>POST /api/inventory/order-purchases/{id}/received/</t>
  </si>
  <si>
    <t>frontend/src/features/inventory/OrderPurchasesTab.jsx:96</t>
  </si>
  <si>
    <t>INVT-056</t>
  </si>
  <si>
    <t>Record used</t>
  </si>
  <si>
    <t>For Received rows, quantity used on the garment (&gt;0, &lt;= remaining)</t>
  </si>
  <si>
    <t>POST /api/inventory/order-purchases/{id}/use/</t>
  </si>
  <si>
    <t>frontend/src/features/inventory/OrderPurchasesTab.jsx:103</t>
  </si>
  <si>
    <t>INVT-057</t>
  </si>
  <si>
    <t>Cancel purchase</t>
  </si>
  <si>
    <t>Confirm "Cancel buying X for order"; only from To purchase</t>
  </si>
  <si>
    <t>POST /api/inventory/order-purchases/{id}/cancel/</t>
  </si>
  <si>
    <t>frontend/src/features/inventory/OrderPurchasesTab.jsx:39</t>
  </si>
  <si>
    <t>INVT-058</t>
  </si>
  <si>
    <t>Order purchases (API only)</t>
  </si>
  <si>
    <t>Edit / create order purchase</t>
  </si>
  <si>
    <t>Create (order*, optional garment_job on same order, name*, qty&gt;0, unit, estimated cost&gt;=0, required_by, notes); PATCH only while TO_PURCHASE; list scoped to orders the user may see</t>
  </si>
  <si>
    <t>POST /api/inventory/order-purchases/ ; PATCH /api/inventory/order-purchases/{id}/</t>
  </si>
  <si>
    <t>apps/inventory/views.py:1004</t>
  </si>
  <si>
    <t>INVT-059</t>
  </si>
  <si>
    <t>Order purchases from new order</t>
  </si>
  <si>
    <t>Garment card "to buy" rows (GarmentPurchases) and PURCHASE-source material fields become OrderPurchase rows when the order is created</t>
  </si>
  <si>
    <t>Owner/Admin task</t>
  </si>
  <si>
    <t>POST /api/orders/ (server creates order-purchases)</t>
  </si>
  <si>
    <t>crm_api/views.py:2130</t>
  </si>
  <si>
    <t>INVT-060</t>
  </si>
  <si>
    <t>Fabric from our stock / trims picker</t>
  </si>
  <si>
    <t>When inventory module visible and fabric source = inventory, pick stocked fabrics (colour filter) and boutique accessories per garment part; source "buy" shows hint; "customer" opens customer-fabric picker</t>
  </si>
  <si>
    <t>frontend/src/App.jsx:8165</t>
  </si>
  <si>
    <t>INVT-061</t>
  </si>
  <si>
    <t>Order detail</t>
  </si>
  <si>
    <t>Raw materials checklist section</t>
  </si>
  <si>
    <t>Shown when any garment has materials; lists order purchases (Need to buy / status) and "Show materials" button that loads the gathering checklist (plan auto-created on first look by Owner/Master/Designer if order not shipped/delivered)</t>
  </si>
  <si>
    <t>GET /api/inventory/material-plans/checklist/?order=</t>
  </si>
  <si>
    <t>frontend/src/App.jsx:5148</t>
  </si>
  <si>
    <t>INVT-062</t>
  </si>
  <si>
    <t>Gathering checklist tick</t>
  </si>
  <si>
    <t>Tick/untick each material line as physically gathered (name+date recorded, logs order activity MATERIAL_GATHERED/UNGATHERED); "N of M still to gather" / "All gathered" status; read-only for other roles; moves no stock</t>
  </si>
  <si>
    <t>POST /api/inventory/material-plans/{id}/gather/</t>
  </si>
  <si>
    <t>INVT-063</t>
  </si>
  <si>
    <t>Camera/upload photo of the actual material gathered for a line (image validated); thumbnails link to full image; logs MATERIAL_PHOTO activity</t>
  </si>
  <si>
    <t>POST /api/inventory/material-plans/{id}/line-photo/ (multipart line_id,image)</t>
  </si>
  <si>
    <t>frontend/src/App.jsx:1362</t>
  </si>
  <si>
    <t>INVT-064</t>
  </si>
  <si>
    <t>Stage review (pattern/fabric cutting)</t>
  </si>
  <si>
    <t>At pattern_cutting/fabric_cutting stage, per planned stock line shows planned/reserved/used/waste/on shelf; enter Used and Waste (&gt;=0, one must be &gt;0) and Record -&gt; consumption with stage_key pattern_cutting</t>
  </si>
  <si>
    <t>POST /api/inventory/material-plans/{id}/consume/</t>
  </si>
  <si>
    <t>frontend/src/App.jsx:1238</t>
  </si>
  <si>
    <t>INVT-065</t>
  </si>
  <si>
    <t>Material plans (API only)</t>
  </si>
  <si>
    <t>Plan materials from BOM</t>
  </si>
  <si>
    <t>Create a plan for an order from a BOM with measurement variables and include_optional</t>
  </si>
  <si>
    <t>POST /api/inventory/material-plans/plan/</t>
  </si>
  <si>
    <t>apps/inventory/views.py:790</t>
  </si>
  <si>
    <t>INVT-066</t>
  </si>
  <si>
    <t>Availability / reserve / release / packaging / reconcile / close / cancel</t>
  </si>
  <si>
    <t>Check shortfalls; reserve (allow_partial); release unused; deduct packaging (from_location); reconcile planned vs used; close (release_outstanding default true); cancel; list with order/status/live filters</t>
  </si>
  <si>
    <t>GET .../material-plans/{id}/availability/ ; POST .../reserve/ ; .../release-unused/ ; .../deduct-packaging/ ; GET .../reconcile/ ; POST .../close/ ; .../cancel/ ; GET /api/inventory/material-plans/</t>
  </si>
  <si>
    <t>apps/inventory/views.py:811</t>
  </si>
  <si>
    <t>INVT-067</t>
  </si>
  <si>
    <t>Customer materials (API only)</t>
  </si>
  <si>
    <t>Customer-supplied materials received</t>
  </si>
  <si>
    <t>Record material the customer brings for an order (name*, received qty&gt;0, unit, kind FABRIC etc., description, notes); later record used / returned to customer / damaged (qty&gt;0) with remarks; movement history; order and unit locked after receipt; no screen</t>
  </si>
  <si>
    <t>POST /api/inventory/customer-materials/ ; POST .../{id}/use/ ; .../return/ ; .../damage/ ; GET .../{id}/movements/</t>
  </si>
  <si>
    <t>apps/inventory/views.py:917</t>
  </si>
  <si>
    <t>INVT-068</t>
  </si>
  <si>
    <t>Reports tab</t>
  </si>
  <si>
    <t>Date window filter</t>
  </si>
  <si>
    <t>From/To date pickers with "All time" reset; applies to period-based sections</t>
  </si>
  <si>
    <t>GET /api/inventory/reports/dashboard/?since=&amp;until=</t>
  </si>
  <si>
    <t>frontend/src/features/inventory/ReportsTab.jsx:56</t>
  </si>
  <si>
    <t>INVT-069</t>
  </si>
  <si>
    <t>Stock position KPIs</t>
  </si>
  <si>
    <t>Stock value (+item count), In stock, Reserved, Available, At reorder level (amber), Out of stock (red)</t>
  </si>
  <si>
    <t>GET /api/inventory/reports/dashboard/</t>
  </si>
  <si>
    <t>frontend/src/features/inventory/ReportsTab.jsx:74</t>
  </si>
  <si>
    <t>INVT-070</t>
  </si>
  <si>
    <t>Losses</t>
  </si>
  <si>
    <t>Waste % (wasted of consumed+wasted) and Damage % (damaged of received) with basis text or "no data"</t>
  </si>
  <si>
    <t>frontend/src/features/inventory/ReportsTab.jsx:86</t>
  </si>
  <si>
    <t>INVT-071</t>
  </si>
  <si>
    <t>Consumption</t>
  </si>
  <si>
    <t>Fabric / embroidery / packaging quantity and value consumed in the window</t>
  </si>
  <si>
    <t>frontend/src/features/inventory/ReportsTab.jsx:101</t>
  </si>
  <si>
    <t>INVT-072</t>
  </si>
  <si>
    <t>Low stock list</t>
  </si>
  <si>
    <t>Items at/below reorder level on available stock: name, left, needed</t>
  </si>
  <si>
    <t>frontend/src/features/inventory/ReportsTab.jsx:116</t>
  </si>
  <si>
    <t>INVT-073</t>
  </si>
  <si>
    <t>Cost per order</t>
  </si>
  <si>
    <t>Material cost per order (waste counted, customer-supplied excluded) with wasted value highlighted</t>
  </si>
  <si>
    <t>frontend/src/features/inventory/ReportsTab.jsx:130</t>
  </si>
  <si>
    <t>INVT-074</t>
  </si>
  <si>
    <t>Supplier on-time performance</t>
  </si>
  <si>
    <t>On-time % per supplier over POs with promised and received dates (count judged)</t>
  </si>
  <si>
    <t>frontend/src/features/inventory/ReportsTab.jsx:149</t>
  </si>
  <si>
    <t>INVT-075</t>
  </si>
  <si>
    <t>Movements by type</t>
  </si>
  <si>
    <t>Quantity and line count per movement type in window</t>
  </si>
  <si>
    <t>frontend/src/features/inventory/ReportsTab.jsx:169</t>
  </si>
  <si>
    <t>INVT-076</t>
  </si>
  <si>
    <t>Reports (API only)</t>
  </si>
  <si>
    <t>Individual report endpoints</t>
  </si>
  <si>
    <t>stock-position, low-stock (limit), consumption (scope, since/until, limit&lt;=500), loss-rates, cost-per-order, order-usage (order*), suppliers, movements (item/order/location/movement_type, default 200), movement-summary; invalid dates/limits return 400</t>
  </si>
  <si>
    <t>GET /api/inventory/reports/{name}/</t>
  </si>
  <si>
    <t>apps/inventory/views.py:1111</t>
  </si>
  <si>
    <t>INVT-077</t>
  </si>
  <si>
    <t>Automatic (server)</t>
  </si>
  <si>
    <t>Low / out-of-stock bell alerts</t>
  </si>
  <si>
    <t>After movements, creates Owner notification "Out of stock: X" or "Reorder level reached: X" unless an identical unread alert exists</t>
  </si>
  <si>
    <t>Notification row (GET /api/notifications/)</t>
  </si>
  <si>
    <t>apps/inventory/services.py:284</t>
  </si>
  <si>
    <t>INVT-078</t>
  </si>
  <si>
    <t>Reserve materials when order created</t>
  </si>
  <si>
    <t>On order creation ('created' stage completed) a material plan is built from garment jobs and stock reserved (partial allowed), shortfalls reported</t>
  </si>
  <si>
    <t>POST /api/orders/ triggers order_materials.sync_order_materials</t>
  </si>
  <si>
    <t>apps/inventory/order_materials.py:367</t>
  </si>
  <si>
    <t>INVT-079</t>
  </si>
  <si>
    <t>Consume fabric at stitching completion</t>
  </si>
  <si>
    <t>When stitching_in_progress completes (per garment), remaining planned stock lines are consumed up to shelf stock; shortfalls listed</t>
  </si>
  <si>
    <t>stage transition endpoint</t>
  </si>
  <si>
    <t>apps/inventory/order_materials.py:399</t>
  </si>
  <si>
    <t>INVT-080</t>
  </si>
  <si>
    <t>Release &amp; close plan on final delivery</t>
  </si>
  <si>
    <t>When the last garment's delivered stage completes: unused reservations released, plan reconciled and marked COMPLETED</t>
  </si>
  <si>
    <t>apps/inventory/order_materials.py:436</t>
  </si>
  <si>
    <t>INVT-081</t>
  </si>
  <si>
    <t>Finished goods into stock</t>
  </si>
  <si>
    <t>When every stage of an internal (boutique-own) production run is settled, the garments are received into inventory as items per garment template with a receipt movement</t>
  </si>
  <si>
    <t>apps/inventory/finished_goods.py:51</t>
  </si>
  <si>
    <t>FIN-001</t>
  </si>
  <si>
    <t>Finance</t>
  </si>
  <si>
    <t>Profit &amp; Costs tab</t>
  </si>
  <si>
    <t>Sidebar "Profit &amp; Costs" in Finance group, Owner nav only, gated by 'finance' module; server OwnerOnly (or owner-delegated admin task)</t>
  </si>
  <si>
    <t>frontend/src/App.jsx:1469</t>
  </si>
  <si>
    <t>FIN-002</t>
  </si>
  <si>
    <t>Profit &amp; costs</t>
  </si>
  <si>
    <t>Period selector</t>
  </si>
  <si>
    <t>Segmented Day / Week (Mon-today) / Month (1st-today) / Year (Jan 1-today) / Custom; server resolves dates for named periods; unknown -&gt; month; reversed custom range swapped</t>
  </si>
  <si>
    <t>GET /api/finance/profit-loss/?period=</t>
  </si>
  <si>
    <t>frontend/src/features/finance/FinancePanel.jsx:253</t>
  </si>
  <si>
    <t>FIN-003</t>
  </si>
  <si>
    <t>Custom date range</t>
  </si>
  <si>
    <t>From -&gt; To date inputs shown for Custom (defaults to current month)</t>
  </si>
  <si>
    <t>GET /api/finance/profit-loss/?since=&amp;until=</t>
  </si>
  <si>
    <t>frontend/src/features/finance/FinancePanel.jsx:254</t>
  </si>
  <si>
    <t>FIN-004</t>
  </si>
  <si>
    <t>Revenue KPI</t>
  </si>
  <si>
    <t>Money received in window from dated payment ledger (excludes cancelled orders and internal runs); notes amount "dated from the order" when backfilled estimates included</t>
  </si>
  <si>
    <t>GET /api/finance/profit-loss/</t>
  </si>
  <si>
    <t>frontend/src/features/finance/FinancePanel.jsx:280</t>
  </si>
  <si>
    <t>FIN-005</t>
  </si>
  <si>
    <t>Total costs KPI</t>
  </si>
  <si>
    <t>Salaries + inventory + entered costs</t>
  </si>
  <si>
    <t>frontend/src/features/finance/FinancePanel.jsx:284</t>
  </si>
  <si>
    <t>FIN-006</t>
  </si>
  <si>
    <t>Profit / Loss KPI</t>
  </si>
  <si>
    <t>Revenue minus costs; label flips to Loss when negative; margin % from server or "no revenue yet"</t>
  </si>
  <si>
    <t>frontend/src/features/finance/FinancePanel.jsx:286</t>
  </si>
  <si>
    <t>FIN-007</t>
  </si>
  <si>
    <t>Outstanding KPI</t>
  </si>
  <si>
    <t>What customers still owe on orders not Delivered/Cancelled (not windowed)</t>
  </si>
  <si>
    <t>frontend/src/features/finance/FinancePanel.jsx:288</t>
  </si>
  <si>
    <t>FIN-008</t>
  </si>
  <si>
    <t>Where the money went table</t>
  </si>
  <si>
    <t>Rows: Salaries (payroll payouts actually paid, AUTO), Inventory (committed purchase-order totals by PO date, AUTO), each manual category total (Entered), Total costs</t>
  </si>
  <si>
    <t>frontend/src/features/finance/FinancePanel.jsx:293</t>
  </si>
  <si>
    <t>FIN-009</t>
  </si>
  <si>
    <t>Costs you entered list</t>
  </si>
  <si>
    <t>Expenses in the same window: category, paid to, date, note, amount, Receipt link (opens file); empty state with Add a cost</t>
  </si>
  <si>
    <t>GET /api/finance/expenses/?since=&amp;until=</t>
  </si>
  <si>
    <t>frontend/src/features/finance/FinancePanel.jsx:316</t>
  </si>
  <si>
    <t>FIN-010</t>
  </si>
  <si>
    <t>Delete expense</t>
  </si>
  <si>
    <t>Trash button deletes immediately (no confirm) and refreshes</t>
  </si>
  <si>
    <t>DELETE /api/finance/expenses/{id}/</t>
  </si>
  <si>
    <t>frontend/src/features/finance/FinancePanel.jsx:344</t>
  </si>
  <si>
    <t>FIN-011</t>
  </si>
  <si>
    <t>Add a cost modal</t>
  </si>
  <si>
    <t>Add expense</t>
  </si>
  <si>
    <t>Category (Rent, Utilities, Marketing, Maintenance &amp; repairs, Shop supplies, Professional fees, Other), Amount* (&gt;0, ceiling), Date this cost is for* (not in future, default end of month), Paid to (150), Note (voice-dictation textarea, note limit)</t>
  </si>
  <si>
    <t>POST /api/finance/expenses/ (JSON)</t>
  </si>
  <si>
    <t>frontend/src/features/finance/FinancePanel.jsx:73</t>
  </si>
  <si>
    <t>FIN-012</t>
  </si>
  <si>
    <t>Receipt upload</t>
  </si>
  <si>
    <t>Optional image or PDF up to 10MB via drag-drop/choose/camera; shown with size and Remove; sent as multipart when present</t>
  </si>
  <si>
    <t>POST /api/finance/expenses/ (multipart receipt)</t>
  </si>
  <si>
    <t>frontend/src/features/finance/FinancePanel.jsx:151</t>
  </si>
  <si>
    <t>FIN-013</t>
  </si>
  <si>
    <t>Auto-cost tip banner</t>
  </si>
  <si>
    <t>Dismissible tip explaining salaries/inventory are pulled in automatically</t>
  </si>
  <si>
    <t>frontend/src/features/finance/FinancePanel.jsx:359</t>
  </si>
  <si>
    <t>FIN-014</t>
  </si>
  <si>
    <t>Trend (API only)</t>
  </si>
  <si>
    <t>P&amp;L trend</t>
  </si>
  <si>
    <t>P&amp;L bucketed over time (days for day/week/month, months otherwise, up to 12 points); no screen uses it</t>
  </si>
  <si>
    <t>GET /api/finance/trend/?period=</t>
  </si>
  <si>
    <t>apps/finance/views.py:68</t>
  </si>
  <si>
    <t>FIN-015</t>
  </si>
  <si>
    <t>Payments ledger (API only)</t>
  </si>
  <si>
    <t>Record dated payment</t>
  </si>
  <si>
    <t>Record money received against an order with received_on (not future), method (Cash/UPI/Card/Bank transfer/Other), reference, note; amount &gt;0 and not above amount still owed; order snapshot amount_paid updated from ledger; list filter since/until/order; no screen</t>
  </si>
  <si>
    <t>GET/POST /api/finance/payments/</t>
  </si>
  <si>
    <t>apps/finance/views.py:77</t>
  </si>
  <si>
    <t>FIN-016</t>
  </si>
  <si>
    <t>Expenses (API only)</t>
  </si>
  <si>
    <t>Expense filters / update</t>
  </si>
  <si>
    <t>Expense list also filterable by category; PATCH supported by ModelViewSet (no edit UI)</t>
  </si>
  <si>
    <t>GET /api/finance/expenses/?category= ; PATCH /api/finance/expenses/{id}/</t>
  </si>
  <si>
    <t>apps/finance/views.py:13</t>
  </si>
  <si>
    <t>FIN-017</t>
  </si>
  <si>
    <t>Payment ledger mirror</t>
  </si>
  <si>
    <t>Any save of Order.amount_paid writes the difference as a dated Payment row after commit (decreases not mirrored, left for reconcile)</t>
  </si>
  <si>
    <t>signal on Order post_save</t>
  </si>
  <si>
    <t>apps/finance/signals.py:14</t>
  </si>
  <si>
    <t>INVC-001</t>
  </si>
  <si>
    <t>Invoices</t>
  </si>
  <si>
    <t>Invoices tab</t>
  </si>
  <si>
    <t>Sidebar "Invoices" in Finance group (Owner nav); also reached from overview revenue cards with All/Pending pre-filter</t>
  </si>
  <si>
    <t>frontend/src/App.jsx:1470</t>
  </si>
  <si>
    <t>INVC-002</t>
  </si>
  <si>
    <t>Summary KPIs</t>
  </si>
  <si>
    <t>Total Collected Revenue (sum amount_paid, count settled), Outstanding Balance (sum of balances, count pending), Total Invoiced Volume (sum totals, invoice count) — computed client-side from orders list</t>
  </si>
  <si>
    <t>GET /api/orders/ (via dashboard load)</t>
  </si>
  <si>
    <t>INVC-003</t>
  </si>
  <si>
    <t>Status filter chips</t>
  </si>
  <si>
    <t>All / Paid / Pending (Pending = not Paid) with counts</t>
  </si>
  <si>
    <t>INVC-004</t>
  </si>
  <si>
    <t>Search invoices</t>
  </si>
  <si>
    <t>Search by order id / order reference or client name</t>
  </si>
  <si>
    <t>frontend/src/App.jsx:6371</t>
  </si>
  <si>
    <t>INVC-005</t>
  </si>
  <si>
    <t>Invoice table</t>
  </si>
  <si>
    <t>Columns: Invoice ID (order ref), Billing client avatar+name, Date, Total price, Total paid (editable), % paid + advance portion + progress bar, Balance due (red if &gt;0), Payment status, View invoice; stacks into cards under 1024px; empty states</t>
  </si>
  <si>
    <t>frontend/src/App.jsx:6386</t>
  </si>
  <si>
    <t>INVC-006</t>
  </si>
  <si>
    <t>Edit amount paid inline</t>
  </si>
  <si>
    <t>Number input saved on blur/Enter; validated 0..order total; server derives payment label, clamps, caps advance; failure reverts and shows dismissible error banner</t>
  </si>
  <si>
    <t>PATCH /api/orders/{id}/ {amount_paid}</t>
  </si>
  <si>
    <t>frontend/src/App.jsx:6433</t>
  </si>
  <si>
    <t>INVC-007</t>
  </si>
  <si>
    <t>Change payment status</t>
  </si>
  <si>
    <t>Badge-styled select Pending / Paid (Partially Paid appears only as current derived value)</t>
  </si>
  <si>
    <t>INVC-008</t>
  </si>
  <si>
    <t>View &amp; print invoice</t>
  </si>
  <si>
    <t>Opens Customer Invoice rendered with the boutique's template (classic/modern/elegant, per order or boutique setting) from order + boutique settings; Print Invoice uses browser print (only invoice area printed); Close</t>
  </si>
  <si>
    <t>client-only (data from GET /api/orders/, boutique settings)</t>
  </si>
  <si>
    <t>frontend/src/App.jsx:9056</t>
  </si>
  <si>
    <t>INVC-009</t>
  </si>
  <si>
    <t>Order confirmation screen</t>
  </si>
  <si>
    <t>View &amp; Print Invoice after order</t>
  </si>
  <si>
    <t>Same invoice modal reachable from the order-confirmed screen</t>
  </si>
  <si>
    <t>INVC-010</t>
  </si>
  <si>
    <t>Settings</t>
  </si>
  <si>
    <t>Invoice template selector</t>
  </si>
  <si>
    <t>Owner chooses Classic / Modern / Elegant invoice template (non-owners see read-only)</t>
  </si>
  <si>
    <t>GET/PUT /api/settings/invoice-template/</t>
  </si>
  <si>
    <t>frontend/src/components/invoice/InvoiceTemplateSelector.jsx:74</t>
  </si>
  <si>
    <t>ANL-001</t>
  </si>
  <si>
    <t>Analytics</t>
  </si>
  <si>
    <t>Analytics tab</t>
  </si>
  <si>
    <t>Sidebar "Analytics" in Finance group (Owner nav, no module gate)</t>
  </si>
  <si>
    <t>frontend/src/App.jsx:1471</t>
  </si>
  <si>
    <t>ANL-002</t>
  </si>
  <si>
    <t>Business Analytics &amp; Trends</t>
  </si>
  <si>
    <t>Collected Revenue KPI</t>
  </si>
  <si>
    <t>Sum of amount_paid across orders</t>
  </si>
  <si>
    <t>client-only (orders list)</t>
  </si>
  <si>
    <t>frontend/src/App.jsx:6607</t>
  </si>
  <si>
    <t>ANL-003</t>
  </si>
  <si>
    <t>Pending Invoices KPI</t>
  </si>
  <si>
    <t>Total billed minus collected</t>
  </si>
  <si>
    <t>frontend/src/App.jsx:6609</t>
  </si>
  <si>
    <t>ANL-004</t>
  </si>
  <si>
    <t>Average Ticket Size KPI</t>
  </si>
  <si>
    <t>Total billing / number of orders</t>
  </si>
  <si>
    <t>frontend/src/App.jsx:6611</t>
  </si>
  <si>
    <t>ANL-005</t>
  </si>
  <si>
    <t>Client Base KPI</t>
  </si>
  <si>
    <t>Number of customer profiles</t>
  </si>
  <si>
    <t>frontend/src/App.jsx:6613</t>
  </si>
  <si>
    <t>ANL-006</t>
  </si>
  <si>
    <t>Popular Garment Types</t>
  </si>
  <si>
    <t>Top 4 garment names across orders as bars with count and %; card action opens Orders tab</t>
  </si>
  <si>
    <t>frontend/src/App.jsx:6620</t>
  </si>
  <si>
    <t>ANL-007</t>
  </si>
  <si>
    <t>Customer Segmentation donut</t>
  </si>
  <si>
    <t>Customers grouped into spend tiers Platinum/Gold/Silver with conic donut, legend counts and %; action opens Customers tab</t>
  </si>
  <si>
    <t>frontend/src/App.jsx:6631</t>
  </si>
  <si>
    <t>ANL-008</t>
  </si>
  <si>
    <t>Neckline &amp; Sleeve trends</t>
  </si>
  <si>
    <t>Top 4 front-neck and sleeve-length spec values across garment jobs</t>
  </si>
  <si>
    <t>frontend/src/App.jsx:6652</t>
  </si>
  <si>
    <t>ANL-009</t>
  </si>
  <si>
    <t>Staff &amp; Workload overview</t>
  </si>
  <si>
    <t>Total tailoring team, busy/assigned tailors, available capacity; "Manage team" opens Staff tab</t>
  </si>
  <si>
    <t>GET /api/tailors/</t>
  </si>
  <si>
    <t>frontend/src/App.jsx:6680</t>
  </si>
  <si>
    <t>ANL-010</t>
  </si>
  <si>
    <t>Order Status Breakdown</t>
  </si>
  <si>
    <t>Bars per order status from dashboard status_distribution, sorted desc, % of orders; action opens Orders</t>
  </si>
  <si>
    <t>frontend/src/App.jsx:6698</t>
  </si>
  <si>
    <t>NOTIF-001</t>
  </si>
  <si>
    <t>App header (desktop overview / mobile header / new-order header)</t>
  </si>
  <si>
    <t>Notification bell with unread badge</t>
  </si>
  <si>
    <t>Bell shows count of unread notifications (red badge); notifications loaded once at sign-in when 'notifications' module enabled (no polling)</t>
  </si>
  <si>
    <t>GET /api/notifications/?role=&amp;email= (server resolves audience from the logged-in user)</t>
  </si>
  <si>
    <t>frontend/src/App.jsx:2339</t>
  </si>
  <si>
    <t>NOTIF-002</t>
  </si>
  <si>
    <t>Notification bell</t>
  </si>
  <si>
    <t>Open drawer + mark all read</t>
  </si>
  <si>
    <t>Tapping bell opens "Boutique alerts" drawer and immediately marks all as read, then refetches; guarded against double taps</t>
  </si>
  <si>
    <t>frontend/src/App.jsx:4399</t>
  </si>
  <si>
    <t>NOTIF-003</t>
  </si>
  <si>
    <t>Notifications drawer</t>
  </si>
  <si>
    <t>Alert list</t>
  </si>
  <si>
    <t>Right-side drawer: title, message, time (HH:MM), unread items highlighted gold; empty state "No notifications received yet"; Close button</t>
  </si>
  <si>
    <t>GET /api/notifications/</t>
  </si>
  <si>
    <t>frontend/src/App.jsx:9156</t>
  </si>
  <si>
    <t>NOTIF-004</t>
  </si>
  <si>
    <t>Notifications (server)</t>
  </si>
  <si>
    <t>Audience scoping</t>
  </si>
  <si>
    <t>Owner sees recipient_role=Owner; tailors/production roles and Designers see their role's rows addressed to their email or to the whole role; anyone else sees none</t>
  </si>
  <si>
    <t>crm_api/views.py:1564</t>
  </si>
  <si>
    <t>NOTIF-005</t>
  </si>
  <si>
    <t>New order notifications</t>
  </si>
  <si>
    <t>On order create: Owner "New Order Received", Customer-role confirmation row, Master "New Assignment", Tailor "New Stitching Task"</t>
  </si>
  <si>
    <t>POST /api/orders/</t>
  </si>
  <si>
    <t>domains/orders/notifications.py:19</t>
  </si>
  <si>
    <t>NOTIF-006</t>
  </si>
  <si>
    <t>Order status/stage notifications</t>
  </si>
  <si>
    <t>On status/stage change: Owner "Order X Update", customer row; tailor "Stitching Ready" on Design &amp; Creation; Owner + Master "Quality Check Required" on Quality Check</t>
  </si>
  <si>
    <t>stage/status endpoints</t>
  </si>
  <si>
    <t>domains/orders/notifications.py:117</t>
  </si>
  <si>
    <t>NOTIF-007</t>
  </si>
  <si>
    <t>Reassignment notifications</t>
  </si>
  <si>
    <t>Changing an order's tailor/master notifies the new tailor ("New Stitching Task") / master ("New Assignment")</t>
  </si>
  <si>
    <t>PATCH /api/orders/{id}/ ; assign endpoints</t>
  </si>
  <si>
    <t>crm_api/views.py:691</t>
  </si>
  <si>
    <t>NOTIF-008</t>
  </si>
  <si>
    <t>Stage assignment notification</t>
  </si>
  <si>
    <t>Assigning a stage to a staff member notifies them "New assignment on ORDER" and logs ASSIGNMENT activity</t>
  </si>
  <si>
    <t>stage assign endpoint</t>
  </si>
  <si>
    <t>crm_api/views.py:1224</t>
  </si>
  <si>
    <t>NOTIF-009</t>
  </si>
  <si>
    <t>Next-stage queue notification</t>
  </si>
  <si>
    <t>When work reaches a stage, every non-Owner/Master role allowed on that stage gets "Ready for STAGE: ORDER"</t>
  </si>
  <si>
    <t>domains/orders/notifications.py:156</t>
  </si>
  <si>
    <t>NOTIF-010</t>
  </si>
  <si>
    <t>Voice note notifications</t>
  </si>
  <si>
    <t>Voice note left on a stage/instructions notifies tailor, master, stage assignee/performer, every Master, Owner and Designer role (sender skipped)</t>
  </si>
  <si>
    <t>stage note / order voice-note endpoints</t>
  </si>
  <si>
    <t>domains/orders/notifications.py:187</t>
  </si>
  <si>
    <t>NOTIF-011</t>
  </si>
  <si>
    <t>Verification notifications</t>
  </si>
  <si>
    <t>Work submitted for verification notifies Owner, Designer, Master; sent back notifies the worker with the note; supervisor opening a submission notifies the worker "X opened your submission"</t>
  </si>
  <si>
    <t>stage verification endpoints</t>
  </si>
  <si>
    <t>domains/orders/notifications.py:231</t>
  </si>
  <si>
    <t>NOTIF-012</t>
  </si>
  <si>
    <t>To-do notifications</t>
  </si>
  <si>
    <t>To-do assignment/updates put a line on the person's bell (Owner or staff/designer by email)</t>
  </si>
  <si>
    <t>/api/todos/ endpoints</t>
  </si>
  <si>
    <t>apps/todos/services.py:236</t>
  </si>
  <si>
    <t>ACT-001</t>
  </si>
  <si>
    <t>Activity Feed</t>
  </si>
  <si>
    <t>Order activity</t>
  </si>
  <si>
    <t>Stage notes thread</t>
  </si>
  <si>
    <t>In stage review: last 20 comments/voice notes on that stage (author, time, text, voice player); delete own voice note with confirm</t>
  </si>
  <si>
    <t>order payload activities ; DELETE /api/orders/{id}/stage-notes/{activityId}/voice-note/</t>
  </si>
  <si>
    <t>ACT-002</t>
  </si>
  <si>
    <t>Order activity (server)</t>
  </si>
  <si>
    <t>Material gathering activity entries</t>
  </si>
  <si>
    <t>Gathering ticks and material photos write OrderActivity rows (MATERIAL_GATHERED, MATERIAL_UNGATHERED, MATERIAL_PHOTO) with material, line and role</t>
  </si>
  <si>
    <t>POST .../material-plans/{id}/gather/ ; .../line-photo/</t>
  </si>
  <si>
    <t>apps/inventory/views.py:740</t>
  </si>
  <si>
    <t>ACT-003</t>
  </si>
  <si>
    <t>Universal activity feed (API only)</t>
  </si>
  <si>
    <t>Cross-module audit feed</t>
  </si>
  <si>
    <t>Read-only list of UniversalActivity (module, entity type/id, action, title, description, old/new value, user, timestamp, newest first) filterable by module/entity_type/entity_id; empty for non-supervisors; written by design studio, production, scheduling and payroll actions; no screen consumes it</t>
  </si>
  <si>
    <t>GET /api/activities/activities/?module=&amp;entity_type=&amp;entity_id=</t>
  </si>
  <si>
    <t>apps/activities/views.py:8</t>
  </si>
  <si>
    <t>SET-001</t>
  </si>
  <si>
    <t>Settings page</t>
  </si>
  <si>
    <t>Language card</t>
  </si>
  <si>
    <t>Language selector (11 languages); saved on change.</t>
  </si>
  <si>
    <t>frontend/src/components/SettingsPage.jsx:98-114</t>
  </si>
  <si>
    <t>SET-002</t>
  </si>
  <si>
    <t>Appearance card</t>
  </si>
  <si>
    <t>Segmented Light, Dark, Default (system) buttons. Saved on this device only. Hint text depends on mode.</t>
  </si>
  <si>
    <t>frontend/src/components/SettingsPage.jsx:116-146; frontend/src/theme.js:39-48</t>
  </si>
  <si>
    <t>SET-003</t>
  </si>
  <si>
    <t>Workspace &amp; system info</t>
  </si>
  <si>
    <t>Read-only rows: active user (role and name/email), boutique name, timezone (default Asia/Kolkata).</t>
  </si>
  <si>
    <t>GET /api/boutique-settings/</t>
  </si>
  <si>
    <t>frontend/src/components/SettingsPage.jsx:148-176</t>
  </si>
  <si>
    <t>SET-004</t>
  </si>
  <si>
    <t>Boutique sign-in URL + Copy</t>
  </si>
  <si>
    <t>Shows host/&lt;shop_slug&gt; with a Copy button that copies origin/&lt;slug&gt; to the clipboard and shows "Copied" for 2s. Hidden when there is no shop_slug.</t>
  </si>
  <si>
    <t>frontend/src/components/SettingsPage.jsx:34-43, 178-189</t>
  </si>
  <si>
    <t>SET-005</t>
  </si>
  <si>
    <t>WhatsApp card</t>
  </si>
  <si>
    <t>WhatsApp connection status (auto-poll)</t>
  </si>
  <si>
    <t>While Settings is open, status is polled every 3s. Three states: Connected ("WhatsApp Connected", "Connected" badge); QR available (QR image with "Scan with WhatsApp &gt; Linked Devices" and "Waiting for QR scan…"); Disconnected ("Link WhatsApp Account").</t>
  </si>
  <si>
    <t>GET /api/whatsapp/status/ (crm_api/whatsapp_views.py:117)</t>
  </si>
  <si>
    <t>frontend/src/components/SettingsPage.jsx:50-58, 195-304; frontend/src/App.jsx:2478-2495</t>
  </si>
  <si>
    <t>SET-006</t>
  </si>
  <si>
    <t>Generate QR / Reset session / Disconnect &amp; re-pair</t>
  </si>
  <si>
    <t>The "Generate WhatsApp QR Code", "Reset Session" and "Disconnect &amp; Re-pair" buttons all reset the session to produce a fresh QR, then re-fetch status. They show a spinner and "Resetting…"/"Generating QR Code…" while busy.</t>
  </si>
  <si>
    <t>POST /api/whatsapp/reset/ (crm_api/whatsapp_views.py:132)</t>
  </si>
  <si>
    <t>frontend/src/components/SettingsPage.jsx:60-72, 226-235, 254-260, 290-299</t>
  </si>
  <si>
    <t>SET-007</t>
  </si>
  <si>
    <t>Invoice template card</t>
  </si>
  <si>
    <t>Browse invoice templates</t>
  </si>
  <si>
    <t>Carousel with prev/next arrows over Classic, Modern and Elegant. Each card shows name, tagline, description and a scaled live preview built from sample data. "Active Default" badge on the current one, otherwise "n of 3".</t>
  </si>
  <si>
    <t>GET /api/settings/invoice-template/ (crm_api/invoice_views.py:17 InvoiceTemplateView, OwnerOnly)</t>
  </si>
  <si>
    <t>frontend/src/components/invoice/InvoiceTemplateSelector.jsx:8-27, 73-102, 126-132, 196-387</t>
  </si>
  <si>
    <t>SET-008</t>
  </si>
  <si>
    <t>Wide preview modal</t>
  </si>
  <si>
    <t>Clicking the preview or "Preview Wide" opens a full-size invoice preview with a "Currently Selected" badge, Close Preview, and "Select &amp; Apply Template" (disabled when that template is already active).</t>
  </si>
  <si>
    <t>frontend/src/components/invoice/InvoiceTemplateSelector.jsx:244-285, 321-328, 390-493</t>
  </si>
  <si>
    <t>SET-009</t>
  </si>
  <si>
    <t>Select template</t>
  </si>
  <si>
    <t>"Select Template" saves the choice (allowed: classic, modern, elegant). A success message shows for 4s; errors are shown inline.</t>
  </si>
  <si>
    <t>PATCH /api/settings/invoice-template/ {template}</t>
  </si>
  <si>
    <t>frontend/src/components/invoice/InvoiceTemplateSelector.jsx:104-124, 288-319; frontend/src/services/api.js:367-375</t>
  </si>
  <si>
    <t>SET-010</t>
  </si>
  <si>
    <t>Daily Summary Notifications</t>
  </si>
  <si>
    <t>Recipients list</t>
  </si>
  <si>
    <t>Table of every person (owner marked "(you)", plus role): Receive summary on/off, Language (English, Hindi, Telugu), and "Sent by" channel (WhatsApp with email fallback, Email, or "No mobile or email on file"). The summary is sent at 11 PM. Shows a loader and inline errors.</t>
  </si>
  <si>
    <t>GET /api/daily-summary/settings/ (apps/daily_summary/views.py:36 SummaryPreferenceView, OwnerOnly)</t>
  </si>
  <si>
    <t>frontend/src/components/DailySummarySettings.jsx:8-96</t>
  </si>
  <si>
    <t>SET-011</t>
  </si>
  <si>
    <t>Toggle / change language per person</t>
  </si>
  <si>
    <t>Each change saves immediately and the row is disabled while saving. A non-member id returns 404.</t>
  </si>
  <si>
    <t>PATCH /api/daily-summary/settings/&lt;user_id&gt;/ {enabled}|{language}</t>
  </si>
  <si>
    <t>frontend/src/components/DailySummarySettings.jsx:21-32, 76-88; frontend/src/services/api.js:351-365</t>
  </si>
  <si>
    <t>SET-012</t>
  </si>
  <si>
    <t>Role-based card visibility</t>
  </si>
  <si>
    <t>WhatsApp, Invoice Template and Daily Summary cards are Owner only. Language, Appearance and System info are shown to all roles.</t>
  </si>
  <si>
    <t>All / Owner</t>
  </si>
  <si>
    <t>frontend/src/components/SettingsPage.jsx:50, 196, 307-309; frontend/src/components/invoice/InvoiceTemplateSelector.jsx:134</t>
  </si>
  <si>
    <t>SET-013</t>
  </si>
  <si>
    <t>Roles &amp; Permissions (Staff tab)</t>
  </si>
  <si>
    <t>Rendered in Staff → "Roles &amp; Permissions" tab, Owner only. A dropdown lists all staff and designers ("name · role"), or "No admin". One admin at a time; a chosen-person card is shown.</t>
  </si>
  <si>
    <t>GET /api/boutique-settings/admin-access/ (crm_api/views.py:1886, OwnerOnly); GET /api/tailors/; GET /api/design-studio/designers/</t>
  </si>
  <si>
    <t>frontend/src/features/staff/RolePermissions.jsx:57-136; frontend/src/features/staff/StaffPanel.jsx:1442, 1466-1471, 1511</t>
  </si>
  <si>
    <t>SET-014</t>
  </si>
  <si>
    <t>Tick admin tasks</t>
  </si>
  <si>
    <t>Checkbox grid per section with a ticked/total counter and a tri-state "Select all". Orders: create, edit, stage, delivery_date, payments, discounts, invoices, notify, deliver, cancel. Workshop: assign, reassign, move, materials, review, quality, alterations, track. Customers: add, edit, measurements, leads, history, message, import, delete. The admin sees changes at next sign-in.</t>
  </si>
  <si>
    <t>client-only until saved</t>
  </si>
  <si>
    <t>frontend/src/features/staff/RolePermissions.jsx:14-48, 162-199</t>
  </si>
  <si>
    <t>SET-015</t>
  </si>
  <si>
    <t>Save button (disabled when already saved; shows "Saving…"/"Saved"). PUT replaces both the member and the tasks. The server rejects a member who is not on staff.</t>
  </si>
  <si>
    <t>PUT /api/boutique-settings/admin-access/ {member:{kind,id},tasks[]}</t>
  </si>
  <si>
    <t>frontend/src/features/staff/RolePermissions.jsx:76-86, 151-153; frontend/src/services/api.js:748-759</t>
  </si>
  <si>
    <t>SET-016</t>
  </si>
  <si>
    <t>Role module permissions</t>
  </si>
  <si>
    <t>Per-role module visibility (backend only)</t>
  </si>
  <si>
    <t>The endpoint exists (merge-patch of role→{module:bool}, OwnerOnly) but no frontend screen calls it. Effective modules = plan entitlement AND role default (Tailor-like/Master/Designer sets) AND owner overrides.</t>
  </si>
  <si>
    <t>GET/PATCH /api/boutique-settings/role-modules/ (crm_api/views.py:1927-1975; core/modules.py:477-523)</t>
  </si>
  <si>
    <t>(no frontend caller)</t>
  </si>
  <si>
    <t>SET-017</t>
  </si>
  <si>
    <t>Workflow configuration</t>
  </si>
  <si>
    <t>Stage workflow config (read-only in app)</t>
  </si>
  <si>
    <t>boutique_settings.workflow_config (stages with key, name, allowed roles) is read by the app to label stages and pick eligible staff. There is no editor in the boutique app; it is edited only through the platform super-admin data editor.</t>
  </si>
  <si>
    <t>Platform admin (not boutique)</t>
  </si>
  <si>
    <t>GET /api/boutique-settings/ (read); superadmin /api/superadmin/boutiques/&lt;schema&gt;/data/&lt;key&gt;/ (superadmin/datasets.py:47)</t>
  </si>
  <si>
    <t>frontend/src/App.jsx:3596-3602, 5443</t>
  </si>
  <si>
    <t>SET-018</t>
  </si>
  <si>
    <t>Customer messaging (shell)</t>
  </si>
  <si>
    <t>Queued customer WhatsApp messages</t>
  </si>
  <si>
    <t>Loaded at startup for the Owner, or an Admin with orders.notify. Shown per order as "Customer updates" with a "waiting to send" badge. The user sends from their own WhatsApp and marks the message sent.</t>
  </si>
  <si>
    <t>Owner, Admin task (orders.notify)</t>
  </si>
  <si>
    <t>GET /api/orders/customer-messages/ ; POST /api/orders/&lt;id&gt;/mark-message-sent/</t>
  </si>
  <si>
    <t>frontend/src/App.jsx:595-640, 2471-2472, 2533-2536, 5142</t>
  </si>
  <si>
    <t>ACC-001</t>
  </si>
  <si>
    <t>Account &amp; Boutique Profile</t>
  </si>
  <si>
    <t>Account tab</t>
  </si>
  <si>
    <t>Profile card</t>
  </si>
  <si>
    <t>Cover, avatar (photo or initial), full name, role badge (default "Boutique Owner"), Tenant Domain (tenant_id) with copy button, Atelier Email with copy button, Role row. Header shows a "Hi, &lt;name&gt;" widget.</t>
  </si>
  <si>
    <t>client-only (from /auth/me)</t>
  </si>
  <si>
    <t>frontend/src/App.jsx:176-190, 6713-6797</t>
  </si>
  <si>
    <t>ACC-002</t>
  </si>
  <si>
    <t>Change profile photo</t>
  </si>
  <si>
    <t>Camera button opens the file or camera picker (image/*). Client validation: must be an image and within the size limit. Saved immediately; the avatar updates everywhere. Server: image only, 5MB max.</t>
  </si>
  <si>
    <t>PATCH /api/auth/me/ multipart profile_photo (crm_api/auth_views.py:494-520)</t>
  </si>
  <si>
    <t>frontend/src/App.jsx:6741-6756; frontend/src/services/api.js:990-1000; frontend/src/services/validate.js:147-155</t>
  </si>
  <si>
    <t>ACC-003</t>
  </si>
  <si>
    <t>Change password</t>
  </si>
  <si>
    <t>Not available in-app. Users reset via the "Forgot password?" email link; staff are reset by the Owner from Staff.</t>
  </si>
  <si>
    <t>POST /api/auth/password-reset/</t>
  </si>
  <si>
    <t>frontend/src/App.jsx:3896-3903</t>
  </si>
  <si>
    <t>ACC-004</t>
  </si>
  <si>
    <t>Edit Boutique Profile</t>
  </si>
  <si>
    <t>Boutique name / address</t>
  </si>
  <si>
    <t>Name (required, max length) and Address (required textarea). Server validates text length (name 255, address 500).</t>
  </si>
  <si>
    <t>POST /api/boutique-settings/ multipart (crm_api/views.py:1840-1872)</t>
  </si>
  <si>
    <t>frontend/src/App.jsx:6803-6834, 3418-3430</t>
  </si>
  <si>
    <t>ACC-005</t>
  </si>
  <si>
    <t>Boutique phone / email</t>
  </si>
  <si>
    <t>Phone (required; landline allowed; max 50; phoneError validator) and Email (required; cleaned on blur; emailError). Invalid input blocks save with an alert.</t>
  </si>
  <si>
    <t>POST /api/boutique-settings/</t>
  </si>
  <si>
    <t>frontend/src/App.jsx:3411-3412, 6844-6855</t>
  </si>
  <si>
    <t>ACC-006</t>
  </si>
  <si>
    <t>Boutique logo</t>
  </si>
  <si>
    <t>Drag-and-drop or camera dropzone when no logo exists. Otherwise shows the current logo with "Choose file" and "Remove" (removes the pending file only). Image validated client-side. Guidelines: 512×512, PNG/JPG, 2MB max. The logo appears on invoices and messages.</t>
  </si>
  <si>
    <t>POST /api/boutique-settings/ (logo file)</t>
  </si>
  <si>
    <t>frontend/src/App.jsx:3413-3417, 6857-6886</t>
  </si>
  <si>
    <t>ACC-007</t>
  </si>
  <si>
    <t>Shop location for staff check-in</t>
  </si>
  <si>
    <t>"Use my current location" / "Update to my current location" reads GPS at high accuracy (20s timeout) and saves immediately, showing accuracy. "Clear" removes the pin. Errors cover permission denied, unreadable location and unsupported browser. The server validates lat/lng ranges. Check-ins outside the radius are flagged in attendance.</t>
  </si>
  <si>
    <t>POST /api/boutique-settings/ {shop_latitude,shop_longitude} (crm_api/views.py:1805-1831)</t>
  </si>
  <si>
    <t>frontend/src/App.jsx:538-593, 6836-6838</t>
  </si>
  <si>
    <t>ACC-008</t>
  </si>
  <si>
    <t>Check-in radius</t>
  </si>
  <si>
    <t>Number input from 20 to 5000 m, step 10, default 150, required. The server rejects values outside 20-5000.</t>
  </si>
  <si>
    <t>POST /api/boutique-settings/ {shop_radius_m}</t>
  </si>
  <si>
    <t>frontend/src/App.jsx:6839-6842; crm_api/views.py:1824-1831</t>
  </si>
  <si>
    <t>ACC-009</t>
  </si>
  <si>
    <t>Require approval for new designs</t>
  </si>
  <si>
    <t>Toggle switch, off by default. When on, uploads from staff other than the owner wait for review before appearing in the library.</t>
  </si>
  <si>
    <t>POST /api/boutique-settings/ {design_approval_required}</t>
  </si>
  <si>
    <t>frontend/src/App.jsx:6888-6903; crm_api/views.py:1866-1868</t>
  </si>
  <si>
    <t>ACC-010</t>
  </si>
  <si>
    <t>Save / Cancel / Autosave</t>
  </si>
  <si>
    <t>Save Changes shows the alert "Boutique settings updated successfully!" or a failure alert, and is disabled while saving. Cancel resets the form and the pending logo. The form also autosaves every 60s when valid and changed, and shows "Autosaved hh:mm" or "Autosaves every minute while you edit".</t>
  </si>
  <si>
    <t>frontend/src/App.jsx:3431-3440, 6806-6826, 6905-6916; frontend/src/hooks/useAutosave.js:15-53</t>
  </si>
  <si>
    <t>ACC-011</t>
  </si>
  <si>
    <t>Owner-only form visibility</t>
  </si>
  <si>
    <t>The Edit Boutique Profile form is drawn only for the Owner; other roles see only the profile card and photo change.</t>
  </si>
  <si>
    <t>frontend/src/App.jsx:6714, 6800-6803</t>
  </si>
  <si>
    <t>PORT-001</t>
  </si>
  <si>
    <t>Customer Portal (public)</t>
  </si>
  <si>
    <t>Customer intake portal</t>
  </si>
  <si>
    <t>Portal access gate</t>
  </si>
  <si>
    <t>The public API is mounted at /intake/ with no login. The boutique is identified only by the X-Portal-Key header, a platform-issued credential that the platform console shows once. CORS allows the one registered origin. Every refusal gives the same 404, "This boutique is not accepting online submissions.", for an unknown key, a suspended boutique or the customer_portal module switched off. Responses are no-store and noindex.</t>
  </si>
  <si>
    <t>Public</t>
  </si>
  <si>
    <t>OPTIONS/GET/POST /intake/* (X-Portal-Key)</t>
  </si>
  <si>
    <t>crm_api/portal_views.py:156-241; crm_api/portal_urls.py; boutique_crm/urls.py:13; frontend/src/superadmin/screens/BoutiqueDetail.jsx:243-300</t>
  </si>
  <si>
    <t>PORT-002</t>
  </si>
  <si>
    <t>Product list</t>
  </si>
  <si>
    <t>Returns the boutique's active garment templates (key and name, honouring per-boutique overrides) for the website's product menu.</t>
  </si>
  <si>
    <t>GET /intake/products/</t>
  </si>
  <si>
    <t>crm_api/portal_views.py:514-549</t>
  </si>
  <si>
    <t>PORT-003</t>
  </si>
  <si>
    <t>Product measurement fields</t>
  </si>
  <si>
    <t>For one product (by key or name): number fields in inches only, without conditional fields, limited to body, length, neck, sleeve and fit groups. Each has key, label, group, min (default 0), max (default 120), step (default 0.25) and help text. Unknown product → 404 "No such product."</t>
  </si>
  <si>
    <t>GET /intake/products/{key}/measurements/</t>
  </si>
  <si>
    <t>crm_api/portal_views.py:569-592, 643-662</t>
  </si>
  <si>
    <t>PORT-004</t>
  </si>
  <si>
    <t>Product design parts</t>
  </si>
  <si>
    <t>The garment's design parts (key, label) for filing design photos, and max_photos=10.</t>
  </si>
  <si>
    <t>GET /intake/products/{key}/parts/</t>
  </si>
  <si>
    <t>crm_api/portal_views.py:665-686</t>
  </si>
  <si>
    <t>PORT-005</t>
  </si>
  <si>
    <t>Request WhatsApp OTP</t>
  </si>
  <si>
    <t>Body mobile_number must be a valid 10-digit mobile ("Enter a valid 10-digit mobile number."). Sends a 6-digit code by WhatsApp: "{code} is your verification code for {boutique}. It expires in 5 minutes." Limits: 60 s resend cooldown; 5/hour per mobile; 20/hour per IP; 300/hour per boutique and per credential; over the limit → 429 "Too many attempts". Without Redis or WhatsApp → 503. Honeypot field company_website. The answer is identical whether or not the number is a customer: {sent, channel:"whatsapp", expires_in:300}.</t>
  </si>
  <si>
    <t>Customer / Public</t>
  </si>
  <si>
    <t>POST /intake/customer/verify/request/ {mobile_number}</t>
  </si>
  <si>
    <t>crm_api/portal_views.py:244-310; crm_api/portal_otp.py:24-39</t>
  </si>
  <si>
    <t>PORT-006</t>
  </si>
  <si>
    <t>Verify OTP</t>
  </si>
  <si>
    <t>Body {mobile_number, code}. A wrong, expired or foreign code gives one message, "That code is not valid." Maximum 5 attempts. On success returns {verified:true, token}, a signed token valid 15 minutes and bound to the boutique and mobile.</t>
  </si>
  <si>
    <t>POST /intake/customer/verify/</t>
  </si>
  <si>
    <t>crm_api/portal_views.py:313-342; crm_api/portal_tokens.py:14-20</t>
  </si>
  <si>
    <t>PORT-007</t>
  </si>
  <si>
    <t>Profile autofill</t>
  </si>
  <si>
    <t>Bearer token required (401 "Verify your mobile number first."). Returns {exists, profile} with only first_name, last_name, email_address, address, city_region, gender, date_of_birth, occupation and preferred_communication. Never notes, tier, spend, orders or measurements.</t>
  </si>
  <si>
    <t>Customer</t>
  </si>
  <si>
    <t>GET /intake/customer/profile/ (Authorization: Bearer)</t>
  </si>
  <si>
    <t>crm_api/portal_views.py:69-76, 345-368, 423-429</t>
  </si>
  <si>
    <t>PORT-008</t>
  </si>
  <si>
    <t>Submit customer details</t>
  </si>
  <si>
    <t>Bearer token required. The token is single-use for this write. Any mobile in the body must equal the verified one (403 otherwise). first_name is required. Gender must be Female/Male/Other; preferred_communication must be WhatsApp/Call/Email; each field ≤ 500; name, email and address validated. Creates a customer (source Website, is_lead true) or only fills blank fields on an existing one. Returns 201 for created, 200 for updated.</t>
  </si>
  <si>
    <t>crm_api/portal_views.py:371-420, 432-511</t>
  </si>
  <si>
    <t>PORT-009</t>
  </si>
  <si>
    <t>Submit product requirement</t>
  </si>
  <si>
    <t>Bearer token required; the details must already have been saved (409 "Send your details first."). Fields: garment_type (product), occasion, neckline_style, sleeve_style, back_style, length_preference, silhouette, embellishments, pattern_style, custom_requirements (these overwrite earlier values); notes ≤ 500; reference_links ≤ 10, http/https only; measurements JSON checked against the product's fields and min/max; design photos as images[&lt;part&gt;], at most 10, JPG/PNG/WebP, parts from the product. At least something must be sent ("Tell us what you would like made."). Saves the measurements to the sheet (history kept) and adds an unapproved CUSTOM_DESIGN design preference with photos grouped by part. Returns 201 {saved:true}.</t>
  </si>
  <si>
    <t>POST /intake/customer/product/ (JSON or multipart)</t>
  </si>
  <si>
    <t>crm_api/portal_views.py:689-757, 790-953</t>
  </si>
  <si>
    <t>PORT-010</t>
  </si>
  <si>
    <t>Enquiry WhatsApp confirmation</t>
  </si>
  <si>
    <t>After a requirement is saved, sends at most one WhatsApp every 10 minutes: "Hi {first}, thank you for your enquiry with {boutique}. We have received your {product} requirement. Our team will contact you shortly." A failure never affects the response.</t>
  </si>
  <si>
    <t>POST /intake/customer/product/ (server side)</t>
  </si>
  <si>
    <t>crm_api/portal_views.py:759-787; crm_api/portal_otp.py:78-92</t>
  </si>
  <si>
    <t>PORT-011</t>
  </si>
  <si>
    <t>CRM side of portal</t>
  </si>
  <si>
    <t>Portal submissions in CRM</t>
  </si>
  <si>
    <t>Portal customers appear under Leads; their requirements appear on the profile under "Saved Designs &amp; Inspiration" (source Custom design) with photos grouped by part, and can be approved for production.</t>
  </si>
  <si>
    <t>frontend/src/App.jsx:3637-3641, 6255-6312</t>
  </si>
  <si>
    <t>TRK-001</t>
  </si>
  <si>
    <t>Order Tracking Page (public)</t>
  </si>
  <si>
    <t>Public order tracking page</t>
  </si>
  <si>
    <t>Open tracking link</t>
  </si>
  <si>
    <t>A server-rendered HTML page from a signed token (link is TRACKING_BASE_URL/track/{token}/). No login. Returns 404 when the token is invalid, the boutique is inactive, the order_tracking module is off, the order is missing, or it is an internal production order with no customer. Responses are no-store and noindex.</t>
  </si>
  <si>
    <t>crm_api/tracking_views.py:25-60; domains/orders/tracking.py:24-31; boutique_crm/urls.py:11</t>
  </si>
  <si>
    <t>TRK-002</t>
  </si>
  <si>
    <t>Order summary</t>
  </si>
  <si>
    <t>Shows boutique logo and name, order reference, customer name, garment(s), order date, expected delivery (or "To be confirmed") and order status pill.</t>
  </si>
  <si>
    <t>crm_api/templates/crm_api/tracking.html:82-100</t>
  </si>
  <si>
    <t>TRK-003</t>
  </si>
  <si>
    <t>Stage progress timeline</t>
  </si>
  <si>
    <t>One line per stage; per-garment rows are merged, and a stage counts as done only when every garment's row is done. Skipped stages are hidden. Completed stages show a tick and date-time; in-progress shows a dot; not started appears greyed.</t>
  </si>
  <si>
    <t>crm_api/tracking_views.py:62-84; crm_api/templates/crm_api/tracking.html:107-121</t>
  </si>
  <si>
    <t>TRK-004</t>
  </si>
  <si>
    <t>Garment photos</t>
  </si>
  <si>
    <t>Finished-garment photos with view captions appear only after the boutique publishes them.</t>
  </si>
  <si>
    <t>crm_api/tracking_views.py:101-103; crm_api/templates/crm_api/tracking.html:125-137</t>
  </si>
  <si>
    <t>TRK-005</t>
  </si>
  <si>
    <t>Payment summary</t>
  </si>
  <si>
    <t>Total, Paid, payment status (Paid / Partially Paid / Payment Pending) and balance due.</t>
  </si>
  <si>
    <t>crm_api/tracking_views.py:16-22, 98-120; crm_api/templates/crm_api/tracking.html:154-159</t>
  </si>
  <si>
    <t>TRK-006</t>
  </si>
  <si>
    <t>Delivery info and contact</t>
  </si>
  <si>
    <t>Shows delivery method. For Courier: courier name (or "To be confirmed") and tracking number; otherwise the pick-up address. A "Questions? Call" tel: link.</t>
  </si>
  <si>
    <t>crm_api/templates/crm_api/tracking.html:166-177</t>
  </si>
  <si>
    <t>PUB-001</t>
  </si>
  <si>
    <t>Public Pages</t>
  </si>
  <si>
    <t>Demo request</t>
  </si>
  <si>
    <t>Book a demo (marketing site)</t>
  </si>
  <si>
    <t>Form-encoded cross-origin POST without CSRF. Required: name, boutique, email, phone. Optional: makes, orders_per_month, people, problem (≤ 2000). Honeypot note_ref returns a silent 201. Limit 5 per IP per hour → 429 "Too many requests. Please try again later." Validation errors → 400 {ok:false, errors}. Success → 201 {ok:true}. Saved as a DemoRequest with status NEW for the platform to follow up.</t>
  </si>
  <si>
    <t>POST /demo-request/</t>
  </si>
  <si>
    <t>tenants/views.py:19-22, 38-48, 78-107; tenants/models.py:152-172; boutique_crm/urls.py:12</t>
  </si>
  <si>
    <t>PUB-002</t>
  </si>
  <si>
    <t>Customer invoice</t>
  </si>
  <si>
    <t>Customer-facing invoice view</t>
  </si>
  <si>
    <t>There is no public or customer-facing invoice page. The tracking page shows only payment totals. The invoice endpoint is the Owner's invoice-template setting; invoices are rendered inside the CRM.</t>
  </si>
  <si>
    <t>crm_api/urls.py:39; crm_api/invoice_views.py</t>
  </si>
  <si>
    <t>AUTO-001</t>
  </si>
  <si>
    <t>Automatic (Server)</t>
  </si>
  <si>
    <t>Customer WhatsApp on order confirmation</t>
  </si>
  <si>
    <t>On new order, queues a CustomerMessage "order_confirmation" (greeting, garments, expected delivery, tracking link) when boutique customer messaging is enabled and order has a customer; delivered via WhatsApp backend after commit if configured, otherwise left QUEUED for owner</t>
  </si>
  <si>
    <t>domains/orders/notifications.py:35</t>
  </si>
  <si>
    <t>AUTO-002</t>
  </si>
  <si>
    <t>Customer WhatsApp on stage updates</t>
  </si>
  <si>
    <t>On stage/status change queues messages with templates measurement_completed, product_ready, tryon_step, ready_for_delivery (QC-passed wording), shipped (courier+tracking no.), delivered (with remaining balance) or generic stage_update; skipped when nothing customer-facing changed</t>
  </si>
  <si>
    <t>domains/orders/notifications.py:64</t>
  </si>
  <si>
    <t>AUTO-003</t>
  </si>
  <si>
    <t>Garment-ready message on gallery publish</t>
  </si>
  <si>
    <t>Publishing finished-garment photos (front and back required) sends one "garment_ready" message with tracking link (once per order)</t>
  </si>
  <si>
    <t>POST /api/orders/{id}/publish-garment-images/</t>
  </si>
  <si>
    <t>crm_api/views.py:928</t>
  </si>
  <si>
    <t>AUTO-004</t>
  </si>
  <si>
    <t>Customer updates queue (manual send)</t>
  </si>
  <si>
    <t>Order detail lists queued/sent customer messages; owner sends from own WhatsApp via link then marks sent</t>
  </si>
  <si>
    <t>GET /api/orders/customer-messages/ ; POST /api/orders/{id}/mark-message-sent/</t>
  </si>
  <si>
    <t>frontend/src/App.jsx:595</t>
  </si>
  <si>
    <t>AUTO-005</t>
  </si>
  <si>
    <t>Order confirmation email</t>
  </si>
  <si>
    <t>After commit, emails the customer (if email on file) "Order Confirmed: REF - Boutique" HTML+text via Redis email queue, falling back to direct send</t>
  </si>
  <si>
    <t>domains/orders/emails.py:120</t>
  </si>
  <si>
    <t>AUTO-006</t>
  </si>
  <si>
    <t>Stage update email</t>
  </si>
  <si>
    <t>After commit, emails "Order Stage Update: ID - Stage | Boutique" with the same customer message</t>
  </si>
  <si>
    <t>domains/orders/emails.py:202</t>
  </si>
  <si>
    <t>AUTO-007</t>
  </si>
  <si>
    <t>Appointment booked WhatsApp</t>
  </si>
  <si>
    <t>When an appointment is booked, sends customer WhatsApp "Your &lt;type&gt; is booked for &lt;time&gt;" in house template, after commit, 3 attempts (4s,10s); skipped if messaging disabled or no mobile; never blocks booking</t>
  </si>
  <si>
    <t>POST /api/scheduling/... (appointment create)</t>
  </si>
  <si>
    <t>apps/scheduling/notifications.py:61</t>
  </si>
  <si>
    <t>AUTO-008</t>
  </si>
  <si>
    <t>Alteration notifications</t>
  </si>
  <si>
    <t>Bell rows + customer WhatsApp/email (only for alterations of own orders): received, estimate ready (charge&gt;0), approved, assigned (tailor bell), work started, sent to QC (QC Master, Master, Designer bells), ready for pickup (with balance due), completed, cancelled (Owner bell with reason)</t>
  </si>
  <si>
    <t>/api/alterations/ transitions</t>
  </si>
  <si>
    <t>domains/alterations/notifications.py:93</t>
  </si>
  <si>
    <t>AUTO-009</t>
  </si>
  <si>
    <t>Daily 11 PM summary</t>
  </si>
  <si>
    <t>`send_daily_summaries` every 15 min sends each person's summary when boutique local time is 23:xx: Owner (money collected, new orders booked, outstanding, delivered, overdue, work to check, designs to review, new customers/leads, team present/leave, tomorrow's appointments, low stock); Master (floor queue, ready to assign, completed, sent back, overdue, own work); Designer (submitted/approved/sent back, review queue, overdue); staff (own work); admin with leads task gets leads; WhatsApp if add-on+session+valid mobile else email (Owner email only); dedup log, 3 retries; languages en/hi/te</t>
  </si>
  <si>
    <t>management command</t>
  </si>
  <si>
    <t>apps/daily_summary/send.py:144</t>
  </si>
  <si>
    <t>AUTO-010</t>
  </si>
  <si>
    <t>Daily summary recipients</t>
  </si>
  <si>
    <t>Owner toggles each person's summary on/off and picks language (English/Hindi/Telugu); each change saves immediately</t>
  </si>
  <si>
    <t>GET /api/daily-summary/settings/ ; PATCH /api/daily-summary/settings/{user_id}/</t>
  </si>
  <si>
    <t>frontend/src/components/DailySummarySettings.jsx:18</t>
  </si>
  <si>
    <t>AUTO-011</t>
  </si>
  <si>
    <t>Close stale attendance</t>
  </si>
  <si>
    <t>Hourly `close_stale_attendance` checks out any session open longer than 12 hours in every boutique (closes at check_in+12h)</t>
  </si>
  <si>
    <t>apps/staff/management/commands/close_stale_attendance.py:17</t>
  </si>
  <si>
    <t>AUTO-012</t>
  </si>
  <si>
    <t>Purge delivered media</t>
  </si>
  <si>
    <t>Nightly `purge_delivered_media` deletes workroom stage photos and voice notes of orders delivered more than 3 days ago (--days), file first then URL, stamps media_purged_at; finished-garment photos, design refs, fabric and alteration photos kept</t>
  </si>
  <si>
    <t>crm_api/management/commands/purge_delivered_media.py:13</t>
  </si>
  <si>
    <t>AUTO-013</t>
  </si>
  <si>
    <t>Email queue worker</t>
  </si>
  <si>
    <t>`run_email_worker` polls Redis (Upstash) for queued email jobs and sends them (--once, --interval default 2s)</t>
  </si>
  <si>
    <t>management command (enqueue via POST /api/email/queue/)</t>
  </si>
  <si>
    <t>apps/email_service/management/commands/run_email_worker.py:9</t>
  </si>
  <si>
    <t>AUTO-014</t>
  </si>
  <si>
    <t>Garment template sync</t>
  </si>
  <si>
    <t>`sync_templates` pushes garment template definitions into every boutique schema</t>
  </si>
  <si>
    <t>apps/catalog/management/commands/sync_templates.py:13</t>
  </si>
  <si>
    <t>AUTO-015</t>
  </si>
  <si>
    <t>To-do follows order step</t>
  </si>
  <si>
    <t>When an order stage moves to started/in-verification, linked open to-dos go In progress; when completed/skipped they are closed, with an automatic "Workflow" update entry</t>
  </si>
  <si>
    <t>signal on OrderStage save</t>
  </si>
  <si>
    <t>apps/todos/signals.py:30</t>
  </si>
  <si>
    <t>AUTO-016</t>
  </si>
  <si>
    <t>Starting a production stage auto checks the performer in to attendance (note "Auto check-in: started STAGE on ORDER")</t>
  </si>
  <si>
    <t>domains/orders/services.py:801</t>
  </si>
  <si>
    <t>SA-001</t>
  </si>
  <si>
    <t>Superadmin Console (Platform)</t>
  </si>
  <si>
    <t>Sign in</t>
  </si>
  <si>
    <t>Platform console sign-in</t>
  </si>
  <si>
    <t>Separate app (superadmin.html, hash router); username + password, stores token under its own key; session re-validated on load; 401/403 clears token; sign-in attempts recorded</t>
  </si>
  <si>
    <t>Platform admin</t>
  </si>
  <si>
    <t>POST /api/superadmin/auth/login/ ; GET /api/superadmin/auth/me/</t>
  </si>
  <si>
    <t>frontend/src/superadmin/SuperAdmin.jsx:118</t>
  </si>
  <si>
    <t>SA-002</t>
  </si>
  <si>
    <t>Shell</t>
  </si>
  <si>
    <t>Sign out / Refresh</t>
  </si>
  <si>
    <t>Top bar shows admin username, Refresh reloads page, Sign out clears token even if server call fails</t>
  </si>
  <si>
    <t>POST /api/superadmin/auth/logout/</t>
  </si>
  <si>
    <t>frontend/src/superadmin/SuperAdmin.jsx:237</t>
  </si>
  <si>
    <t>SA-003</t>
  </si>
  <si>
    <t>Type &gt;=2 chars to search boutiques, users, customers, orders, errors; result opens boutique detail, Errors, Users or boutique data</t>
  </si>
  <si>
    <t>GET /api/superadmin/search/?q=</t>
  </si>
  <si>
    <t>frontend/src/superadmin/SuperAdmin.jsx:166</t>
  </si>
  <si>
    <t>SA-004</t>
  </si>
  <si>
    <t>Crash badge in nav</t>
  </si>
  <si>
    <t>Unresolved error count shown on "Crashes" nav item, refreshed on every route change</t>
  </si>
  <si>
    <t>GET /api/superadmin/errors/summary/</t>
  </si>
  <si>
    <t>frontend/src/superadmin/SuperAdmin.jsx:228</t>
  </si>
  <si>
    <t>SA-005</t>
  </si>
  <si>
    <t>Screen crash guard</t>
  </si>
  <si>
    <t>Per-screen error boundary shows retry and reports the crash to the server</t>
  </si>
  <si>
    <t>POST /api/client-errors/</t>
  </si>
  <si>
    <t>frontend/src/superadmin/SuperAdmin.jsx:81</t>
  </si>
  <si>
    <t>SA-006</t>
  </si>
  <si>
    <t>Home (dashboard)</t>
  </si>
  <si>
    <t>Platform KPI tiles</t>
  </si>
  <si>
    <t>Boutiques (active/suspended), Signed up in 30 days, Boutiques with data problems, Staff accounts (+admins), Customers, Orders (open), Order value booked, Money collected, Demo requests (new / 30 days), Open errors (critical); every tile navigates to its screen</t>
  </si>
  <si>
    <t>GET /api/superadmin/overview/ ; GET /api/superadmin/errors/summary/</t>
  </si>
  <si>
    <t>frontend/src/superadmin/screens/Dashboard.jsx:81</t>
  </si>
  <si>
    <t>SA-007</t>
  </si>
  <si>
    <t>Critical error banner</t>
  </si>
  <si>
    <t>If unresolved critical errors, red banner with "Open Crashes"</t>
  </si>
  <si>
    <t>frontend/src/superadmin/screens/Dashboard.jsx:121</t>
  </si>
  <si>
    <t>SA-008</t>
  </si>
  <si>
    <t>System health strip</t>
  </si>
  <si>
    <t>Overall health pill and failing checks (not_configured counted separately); "All N checks" link</t>
  </si>
  <si>
    <t>GET /api/superadmin/health/</t>
  </si>
  <si>
    <t>frontend/src/superadmin/screens/Dashboard.jsx:136</t>
  </si>
  <si>
    <t>SA-009</t>
  </si>
  <si>
    <t>Boutiques to look at</t>
  </si>
  <si>
    <t>Table of boutiques that are unreadable, suspended or quiet (no order in 30 days / never) with orders, booked, last order; row opens detail</t>
  </si>
  <si>
    <t>GET /api/superadmin/overview/</t>
  </si>
  <si>
    <t>frontend/src/superadmin/screens/Dashboard.jsx:180</t>
  </si>
  <si>
    <t>SA-010</t>
  </si>
  <si>
    <t>Health</t>
  </si>
  <si>
    <t>Is everything working?</t>
  </si>
  <si>
    <t>All health checks worst-first and grouped (Database, migrations, every boutique schema, photo storage, email, open errors, customer WhatsApp, payments, background work, SMS, live-server settings, watchdog, backups) with status and detail; Refresh; links to Crashes / WhatsApp backlog</t>
  </si>
  <si>
    <t>frontend/src/superadmin/screens/Health.jsx:72</t>
  </si>
  <si>
    <t>SA-011</t>
  </si>
  <si>
    <t>All boutiques</t>
  </si>
  <si>
    <t>Boutique list with totals</t>
  </si>
  <si>
    <t>Totals (boutiques, staff, customers, orders/open, booked, collected); unreadable warning; table: name/owner/schema, status, staff, customers, orders, open, booked, collected, last order recency</t>
  </si>
  <si>
    <t>frontend/src/superadmin/screens/Boutiques.jsx:155</t>
  </si>
  <si>
    <t>SA-012</t>
  </si>
  <si>
    <t>Search / status filter / sort</t>
  </si>
  <si>
    <t>Search name, owner, schema; Status All/Active/Suspended/Unreadable; Sort by Name, Orders, Order value, Customers, Last order, Signed up</t>
  </si>
  <si>
    <t>frontend/src/superadmin/screens/Boutiques.jsx:186</t>
  </si>
  <si>
    <t>SA-013</t>
  </si>
  <si>
    <t>Suspend / reactivate boutique</t>
  </si>
  <si>
    <t>Row menu; confirm dialog requires a typed reason (audited); suspend signs everyone out of app and API, no data deleted; reactivate restores access</t>
  </si>
  <si>
    <t>POST /api/superadmin/boutiques/{schema}/suspend/ ; POST .../reactivate/</t>
  </si>
  <si>
    <t>frontend/src/superadmin/screens/Boutiques.jsx:128</t>
  </si>
  <si>
    <t>SA-014</t>
  </si>
  <si>
    <t>Delete boutique</t>
  </si>
  <si>
    <t>Row menu (not for tenant_base template); modal with "I understand" checkbox; deletes schema and all data; server checks confirm_name equals boutique name</t>
  </si>
  <si>
    <t>DELETE /api/superadmin/boutiques/{schema}/ {confirm_name, reason}</t>
  </si>
  <si>
    <t>frontend/src/superadmin/screens/Boutiques.jsx:141</t>
  </si>
  <si>
    <t>SA-015</t>
  </si>
  <si>
    <t>Boutique detail · Overview</t>
  </si>
  <si>
    <t>Usage, onboarding, modules summary</t>
  </si>
  <si>
    <t>Staff, customers, orders/open, booked, collected, last order; onboarding % with blocking step and link to checklist; switched-off modules with "Change modules"; link to One boutique in depth; opening writes data.view audit entry</t>
  </si>
  <si>
    <t>GET /api/superadmin/support/{schema}/</t>
  </si>
  <si>
    <t>frontend/src/superadmin/screens/BoutiqueDetail.jsx:388</t>
  </si>
  <si>
    <t>SA-016</t>
  </si>
  <si>
    <t>Appearance (design system / colour mode)</t>
  </si>
  <si>
    <t>Set boutique workspace design system (Scaleezy or Atelier) and Light/Dark/Match device; audited; applied at boutique's next sign-in/refresh</t>
  </si>
  <si>
    <t>PATCH /api/superadmin/boutiques/{schema}/appearance/</t>
  </si>
  <si>
    <t>frontend/src/superadmin/screens/BoutiqueDetail.jsx:204</t>
  </si>
  <si>
    <t>SA-017</t>
  </si>
  <si>
    <t>Customer Portal API access</t>
  </si>
  <si>
    <t>Shows enabled state, key id, allowed website origin, last used; Enable / Rotate key (confirm) shows new API key once with Copy; Revoke (confirm + reason); optional website origin</t>
  </si>
  <si>
    <t>GET/POST /api/superadmin/boutiques/{schema}/portal-access/ {action: enable|rotate|revoke}</t>
  </si>
  <si>
    <t>frontend/src/superadmin/screens/BoutiqueDetail.jsx:251</t>
  </si>
  <si>
    <t>SA-018</t>
  </si>
  <si>
    <t>Boutique detail · Data</t>
  </si>
  <si>
    <t>Read-only data browser</t>
  </si>
  <si>
    <t>Sidebar of every table grouped by app with row counts (? when missing); pick table, paged rows (50), search text columns; credentials redacted with lock note</t>
  </si>
  <si>
    <t>GET /api/superadmin/boutiques/{schema}/data/ ; GET .../data/{key}/?page=&amp;page_size=&amp;q=</t>
  </si>
  <si>
    <t>frontend/src/superadmin/screens/BoutiqueDetail.jsx:137</t>
  </si>
  <si>
    <t>SA-019</t>
  </si>
  <si>
    <t>Staff accounts</t>
  </si>
  <si>
    <t>Staff account list</t>
  </si>
  <si>
    <t>Every staff account on every boutique, paged; filters search, boutique, role (Owner, Designer, Master, Tailor, Maggam Master, Karigar, Maggam Karigar, Packaging Staff, QC Staff), status active/deactivated; columns account, boutique, role, status, API token, joined, last sign-in (not tracked)</t>
  </si>
  <si>
    <t>GET /api/superadmin/users/?q=&amp;boutique=&amp;role=&amp;status=&amp;page=</t>
  </si>
  <si>
    <t>frontend/src/superadmin/screens/Users.jsx:116</t>
  </si>
  <si>
    <t>SA-020</t>
  </si>
  <si>
    <t>Deactivate / activate account</t>
  </si>
  <si>
    <t>Confirm with reason; owner account cannot be deactivated (server refuses)</t>
  </si>
  <si>
    <t>POST /api/superadmin/users/{schema}/{username}/deactivate|activate/</t>
  </si>
  <si>
    <t>frontend/src/superadmin/screens/Users.jsx:259</t>
  </si>
  <si>
    <t>SA-021</t>
  </si>
  <si>
    <t>Revoke sessions</t>
  </si>
  <si>
    <t>Deletes API token (signs out everywhere); disabled when no token; confirm with reason</t>
  </si>
  <si>
    <t>POST /api/superadmin/users/{schema}/{username}/revoke/</t>
  </si>
  <si>
    <t>frontend/src/superadmin/screens/Users.jsx:267</t>
  </si>
  <si>
    <t>SA-022</t>
  </si>
  <si>
    <t>One-time sign-in link</t>
  </si>
  <si>
    <t>Active accounts only; creates a one-time set-password link shown once (and emailed if mail configured) for the admin to send; reason required</t>
  </si>
  <si>
    <t>POST /api/superadmin/users/{schema}/{username}/access-link/</t>
  </si>
  <si>
    <t>frontend/src/superadmin/screens/Users.jsx:277</t>
  </si>
  <si>
    <t>SA-023</t>
  </si>
  <si>
    <t>Send password reset</t>
  </si>
  <si>
    <t>Active accounts only; sends boutique reset email; reason required</t>
  </si>
  <si>
    <t>POST /api/superadmin/users/{schema}/{username}/reset-password/</t>
  </si>
  <si>
    <t>frontend/src/superadmin/screens/Users.jsx:285</t>
  </si>
  <si>
    <t>SA-024</t>
  </si>
  <si>
    <t>Setup progress (onboarding)</t>
  </si>
  <si>
    <t>Onboarding overview</t>
  </si>
  <si>
    <t>KPIs Boutiques/Not started/In progress/Completed/Unreadable; search; filter Still outstanding/Unreadable/Not started/In progress/Almost complete/Completed/Suspended; table progress %, state, waiting on, signed up</t>
  </si>
  <si>
    <t>GET /api/superadmin/onboarding/</t>
  </si>
  <si>
    <t>frontend/src/superadmin/screens/Onboarding.jsx:111</t>
  </si>
  <si>
    <t>SA-025</t>
  </si>
  <si>
    <t>Per-boutique checklist</t>
  </si>
  <si>
    <t>Expand row to load step cards (done/not, module off, not tracked) with completed of tracked steps</t>
  </si>
  <si>
    <t>GET /api/superadmin/onboarding/{schema}/</t>
  </si>
  <si>
    <t>frontend/src/superadmin/screens/Onboarding.jsx:72</t>
  </si>
  <si>
    <t>SA-026</t>
  </si>
  <si>
    <t>Demo requests (leads)</t>
  </si>
  <si>
    <t>Lead list</t>
  </si>
  <si>
    <t>Received date, name+boutique, email/phone, problem, what they make, orders/month, people</t>
  </si>
  <si>
    <t>GET /api/superadmin/leads/</t>
  </si>
  <si>
    <t>frontend/src/superadmin/screens/Leads.jsx:25</t>
  </si>
  <si>
    <t>SA-027</t>
  </si>
  <si>
    <t>Update lead status / notes</t>
  </si>
  <si>
    <t>Status select NEW/CONTACTED/QUALIFIED/CONVERTED/DECLINED saves immediately; notes textarea saved on blur; tick on save</t>
  </si>
  <si>
    <t>PATCH /api/superadmin/leads/{id}/</t>
  </si>
  <si>
    <t>frontend/src/superadmin/screens/Leads.jsx:30</t>
  </si>
  <si>
    <t>SA-028</t>
  </si>
  <si>
    <t>One boutique in depth (support)</t>
  </si>
  <si>
    <t>Support view</t>
  </si>
  <si>
    <t>Choose boutique; usage stats, onboarding, modules, order operations, recent errors, accounts, admin actions on this boutique, with links to full screens; opening is audited</t>
  </si>
  <si>
    <t>GET /api/superadmin/overview/ ; GET /api/superadmin/support/{schema}/</t>
  </si>
  <si>
    <t>frontend/src/superadmin/screens/Support.jsx:63</t>
  </si>
  <si>
    <t>SA-029</t>
  </si>
  <si>
    <t>Features per boutique (modules)</t>
  </si>
  <si>
    <t>Plan per boutique</t>
  </si>
  <si>
    <t>Table of boutiques with plan select Starter (CRM) / Studio (CRM+Design+Inventory) / Atelier (+Team, Finance, add-ons); change needs confirm + reason</t>
  </si>
  <si>
    <t>GET /api/superadmin/modules/ ; PATCH /api/superadmin/boutiques/{schema}/modules/ {plan}</t>
  </si>
  <si>
    <t>frontend/src/superadmin/screens/Modules.jsx:159</t>
  </si>
  <si>
    <t>SA-030</t>
  </si>
  <si>
    <t>Module/feature switches</t>
  </si>
  <si>
    <t>Per product module (CRM, Design Studio, Inventory, Team Management, Finance, Try-On, Marketing) shows on/partly/off/coming soon (* when hand-overridden); open a module to turn whole module on/off/follow plan, or switch individual features on/off or reset to plan; confirm + reason; server enforces by URL prefix</t>
  </si>
  <si>
    <t>PATCH /api/superadmin/boutiques/{schema}/modules/ {modules:{key:true|false|null}}</t>
  </si>
  <si>
    <t>frontend/src/superadmin/screens/Modules.jsx:277</t>
  </si>
  <si>
    <t>SA-031</t>
  </si>
  <si>
    <t>Plan/plumbing reference</t>
  </si>
  <si>
    <t>Read-only cards: what each plan includes, add-ons, always-on plumbing, always available, screens-only modules</t>
  </si>
  <si>
    <t>GET /api/superadmin/modules/</t>
  </si>
  <si>
    <t>frontend/src/superadmin/screens/Modules.jsx:193</t>
  </si>
  <si>
    <t>SA-032</t>
  </si>
  <si>
    <t>Settings &amp; maintenance</t>
  </si>
  <si>
    <t>Maintenance mode</t>
  </si>
  <si>
    <t>Toggle platform-wide maintenance (on needs confirm "Lock every boutique out"); edit message every boutique sees and Save message</t>
  </si>
  <si>
    <t>GET /api/superadmin/config/ ; PUT /api/superadmin/config/ {key,value,reason}</t>
  </si>
  <si>
    <t>frontend/src/superadmin/screens/Config.jsx:124</t>
  </si>
  <si>
    <t>SA-033</t>
  </si>
  <si>
    <t>Platform settings editor</t>
  </si>
  <si>
    <t>Edit JSON value of runtime settings (text in double quotes), shows last changed by/when, Save per row</t>
  </si>
  <si>
    <t>PUT /api/superadmin/config/</t>
  </si>
  <si>
    <t>frontend/src/superadmin/screens/Config.jsx:169</t>
  </si>
  <si>
    <t>SA-034</t>
  </si>
  <si>
    <t>Server settings &amp; key presence</t>
  </si>
  <si>
    <t>Read-only server settings and whether each credential is set (never the value)</t>
  </si>
  <si>
    <t>GET /api/superadmin/config/</t>
  </si>
  <si>
    <t>frontend/src/superadmin/screens/Config.jsx:223</t>
  </si>
  <si>
    <t>SA-035</t>
  </si>
  <si>
    <t>Feature flags (hidden)</t>
  </si>
  <si>
    <t>Feature flags CRUD</t>
  </si>
  <si>
    <t>API and screen exist but are deliberately unrouted (flags affect nothing)</t>
  </si>
  <si>
    <t>GET/POST /api/superadmin/flags/ ; PATCH/DELETE /api/superadmin/flags/{key}/</t>
  </si>
  <si>
    <t>frontend/src/superadmin/nav.js:43</t>
  </si>
  <si>
    <t>SA-036</t>
  </si>
  <si>
    <t>Orders across boutiques</t>
  </si>
  <si>
    <t>Orders monitor</t>
  </si>
  <si>
    <t>KPIs orders, overdue (with caveat upper bound), queued messages, boutiques; platform-wide status distribution bars; per-boutique table with search and filter All/Has overdue/Has queued messages/Active/Suspended/Unreadable; row opens boutique</t>
  </si>
  <si>
    <t>GET /api/superadmin/orders/ (GET /api/superadmin/orders/{schema}/)</t>
  </si>
  <si>
    <t>frontend/src/superadmin/screens/OrdersMonitor.jsx:71</t>
  </si>
  <si>
    <t>SA-037</t>
  </si>
  <si>
    <t>WhatsApp backlog</t>
  </si>
  <si>
    <t>Customer message backlog</t>
  </si>
  <si>
    <t>Queued customer messages platform-wide, boutiques with backlog, deepest backlog; per-boutique ranking with links to boutique and support; explains there is no send button</t>
  </si>
  <si>
    <t>GET /api/superadmin/orders/ ; GET /api/superadmin/health/</t>
  </si>
  <si>
    <t>frontend/src/superadmin/screens/Messaging.jsx:30</t>
  </si>
  <si>
    <t>SA-038</t>
  </si>
  <si>
    <t>Connected services</t>
  </si>
  <si>
    <t>Integrations status</t>
  </si>
  <si>
    <t>Rows for Email sending, Photo storage (Cloudinary), Database backups, Watchdog alerts, Customer WhatsApp, Payments, SMS, Background work, Design search Pinterest/Google, with status and whether credential set; environment card</t>
  </si>
  <si>
    <t>GET /api/superadmin/health/ ; GET /api/superadmin/config/</t>
  </si>
  <si>
    <t>frontend/src/superadmin/screens/Integrations.jsx:77</t>
  </si>
  <si>
    <t>SA-039</t>
  </si>
  <si>
    <t>Crashes</t>
  </si>
  <si>
    <t>Crash list</t>
  </si>
  <si>
    <t>Unhandled 500s grouped by fingerprint; KPIs unresolved, critical &amp; open, distinct bugs; search; status (New/Acknowledged/Resolved/Ignored) and severity (Critical/High/Medium/Low) filters; boutique filter chip; expand row for traceback frames, boutiques seen in, user, first/last seen, count</t>
  </si>
  <si>
    <t>GET /api/superadmin/errors/?q=&amp;status=&amp;severity=&amp;boutique=</t>
  </si>
  <si>
    <t>frontend/src/superadmin/screens/Errors.jsx:130</t>
  </si>
  <si>
    <t>SA-040</t>
  </si>
  <si>
    <t>Triage actions</t>
  </si>
  <si>
    <t>Acknowledge, Resolve (confirm; auto-reopens if it recurs), Ignore (danger confirm; never reopens), Reopen; with reason; notes saved on blur</t>
  </si>
  <si>
    <t>PATCH /api/superadmin/errors/{id}/ {status,reason} / {notes}</t>
  </si>
  <si>
    <t>frontend/src/superadmin/screens/Errors.jsx:143</t>
  </si>
  <si>
    <t>SA-041</t>
  </si>
  <si>
    <t>Other errors</t>
  </si>
  <si>
    <t>Handled error tabs</t>
  </si>
  <si>
    <t>Tabs Recovered from (swallowed), Blocked on purpose (refusals), Bad requests (4xx), Browser crashes; search, status filter, boutique chip, same triage actions and notes</t>
  </si>
  <si>
    <t>GET /api/superadmin/errors/?kind=handled|refusal|client|frontend ; PATCH /api/superadmin/errors/{id}/</t>
  </si>
  <si>
    <t>frontend/src/superadmin/screens/ErrorHandling.jsx:296</t>
  </si>
  <si>
    <t>SA-042</t>
  </si>
  <si>
    <t>Sign-in attempts</t>
  </si>
  <si>
    <t>Sign-in security log</t>
  </si>
  <si>
    <t>Last 24h stats (attempts, failed, reset requests, distinct IPs), suspicious-pattern alerts list, table of attempts (when, result, kind Boutique/Console/Reset, account, boutique, IP, browser); Refresh</t>
  </si>
  <si>
    <t>GET /api/superadmin/signins/</t>
  </si>
  <si>
    <t>frontend/src/superadmin/screens/Signins.jsx:29</t>
  </si>
  <si>
    <t>SA-043</t>
  </si>
  <si>
    <t>Who has access (sessions)</t>
  </si>
  <si>
    <t>Token holders</t>
  </si>
  <si>
    <t>Accounts with live API tokens (filter has token/every account, search, boutique); stats live tokens, accounts, held by deactivated accounts; Revoke token with confirm + reason</t>
  </si>
  <si>
    <t>GET /api/superadmin/users/ ; POST /api/superadmin/users/{schema}/{username}/revoke/</t>
  </si>
  <si>
    <t>frontend/src/superadmin/screens/Sessions.jsx:56</t>
  </si>
  <si>
    <t>SA-044</t>
  </si>
  <si>
    <t>What admins did (audit)</t>
  </si>
  <si>
    <t>Admin audit trail</t>
  </si>
  <si>
    <t>Every console action: who, when, boutique, action, reason; search; filter by action, actor, boutique (click to filter, clear chips); expand for Before/After values; paged</t>
  </si>
  <si>
    <t>GET /api/superadmin/audit/?q=&amp;action=&amp;actor=&amp;boutique=</t>
  </si>
  <si>
    <t>frontend/src/superadmin/screens/Audit.jsx:114</t>
  </si>
  <si>
    <t>SA-045</t>
  </si>
  <si>
    <t>Jobs &amp; Queues / API Monitoring</t>
  </si>
  <si>
    <t>Not-measured explainer</t>
  </si>
  <si>
    <t>Routable screens (from dashboard links) explaining no job runner or request instrumentation exists</t>
  </si>
  <si>
    <t>frontend/src/superadmin/screens/NotMeasured.jsx:47</t>
  </si>
  <si>
    <t>SA-046</t>
  </si>
  <si>
    <t>Guardian watchdog</t>
  </si>
  <si>
    <t>`manage.py guardian` cron tick: WhatsApps the platform number only when something changed (new crashes, health check turned bad/recovered, suspicious sign-ins) plus a daily 9am "all quiet" heartbeat; state shown on Health</t>
  </si>
  <si>
    <t>management command (WhatsApp send)</t>
  </si>
  <si>
    <t>superadmin/guardian.py:1</t>
  </si>
  <si>
    <t>SA-047</t>
  </si>
  <si>
    <t>Nightly backups + weekly restore test</t>
  </si>
  <si>
    <t>`manage.py backup`: dump every schema to CSV tar uploaded to Cloudinary; --restore-test loads newest archive into scratch schema and compares counts; --restore for real recovery; status feeds Health</t>
  </si>
  <si>
    <t>superadmin/management/commands/backup.py:9</t>
  </si>
  <si>
    <t>SA-048</t>
  </si>
  <si>
    <t>Error capture</t>
  </si>
  <si>
    <t>Unhandled exceptions, handled failures, refusals and 4xx recorded as ErrorEvents (fingerprinted, counted, resolved ones reopened on recurrence); browser crashes posted by the apps</t>
  </si>
  <si>
    <t>POST /api/client-errors/ ; middleware</t>
  </si>
  <si>
    <t>core/exceptions.py:221</t>
  </si>
  <si>
    <t>SA-049</t>
  </si>
  <si>
    <t>Sign-in attempt recording</t>
  </si>
  <si>
    <t>Boutique logins, console logins and password-reset requests logged with IP/agent; suspicious thresholds (20 fails/IP/hour, 10 per account, IP across 3 boutiques, 5 console fails)</t>
  </si>
  <si>
    <t>POST /api/auth/login/ ; /api/auth/password-reset/ ; /api/superadmin/auth/login/</t>
  </si>
  <si>
    <t>superadmin/signins.py:21</t>
  </si>
  <si>
    <t>Mobile app progress by module</t>
  </si>
  <si>
    <t>Counts update automatically from the Checklist sheet (column K "Mobile status").</t>
  </si>
  <si>
    <t>Features</t>
  </si>
  <si>
    <t>In progress</t>
  </si>
  <si>
    <t>Blocked</t>
  </si>
  <si>
    <t>To build (excl. not applicable)</t>
  </si>
  <si>
    <t>% done</t>
  </si>
  <si>
    <t>All modules</t>
  </si>
  <si>
    <t>Every backend API route, and which checklist features use it</t>
  </si>
  <si>
    <t>Generated from the Django URL configuration. "Used by the web app?" = No means no screen the web app shows calls it today; the Note says why.</t>
  </si>
  <si>
    <t>Route</t>
  </si>
  <si>
    <t>Django view</t>
  </si>
  <si>
    <t>Methods / actions</t>
  </si>
  <si>
    <t>Used by the web app?</t>
  </si>
  <si>
    <t>Checklist IDs</t>
  </si>
  <si>
    <t>Note</t>
  </si>
  <si>
    <t>/media/(?P&lt;path&gt;.*)</t>
  </si>
  <si>
    <t>serve</t>
  </si>
  <si>
    <t>(all methods)</t>
  </si>
  <si>
    <t>No</t>
  </si>
  <si>
    <t>Serves uploaded files (photos, voice notes) during development.</t>
  </si>
  <si>
    <t>/api/</t>
  </si>
  <si>
    <t>APIRootView</t>
  </si>
  <si>
    <t>/api/boutique-designs/</t>
  </si>
  <si>
    <t>BoutiqueDesignViewSet</t>
  </si>
  <si>
    <t>get:list, post:create</t>
  </si>
  <si>
    <t>DES-029, DES-030, NAV-022</t>
  </si>
  <si>
    <t>/api/boutique-designs/(?P&lt;pk&gt;[/.]+)/</t>
  </si>
  <si>
    <t>get:retrieve, put:update, patch:partial_update, delete:destroy</t>
  </si>
  <si>
    <t>/api/boutique-designs/upload-image/</t>
  </si>
  <si>
    <t>post:upload_image</t>
  </si>
  <si>
    <t>DES-011, DES-029, STF-020</t>
  </si>
  <si>
    <t>/api/boutique-settings/</t>
  </si>
  <si>
    <t>BoutiqueSettingsViewSet</t>
  </si>
  <si>
    <t>ACC-004, ACC-005, ACC-006, ACC-007, ACC-008, ACC-009, ACC-010, ATT-006, DES-025, NAV-022, SET-003, SET-017</t>
  </si>
  <si>
    <t>/api/boutique-settings/admin-access/</t>
  </si>
  <si>
    <t>get:admin_access, put:admin_access</t>
  </si>
  <si>
    <t>PERM-001, PERM-003, SET-013, SET-015</t>
  </si>
  <si>
    <t>/api/boutique-settings/role-modules/</t>
  </si>
  <si>
    <t>get:role_modules, patch:role_modules</t>
  </si>
  <si>
    <t>PERM-005, SET-016</t>
  </si>
  <si>
    <t>/api/customers/</t>
  </si>
  <si>
    <t>CustomerViewSet</t>
  </si>
  <si>
    <t>ALT-001, ANL-005, CUS-002, CUS-018, CUS-020, CUS-021, CUS-024, CUS-025, CUS-032, CUS-034, CUS-035, CUS-043 ...</t>
  </si>
  <si>
    <t>/api/customers/(?P&lt;pk&gt;[/.]+)/</t>
  </si>
  <si>
    <t>/api/customers/(?P&lt;pk&gt;[/.]+)/ai-suggestions/</t>
  </si>
  <si>
    <t>get:ai_suggestions</t>
  </si>
  <si>
    <t>/api/customers/(?P&lt;pk&gt;[/.]+)/boutique-designs/</t>
  </si>
  <si>
    <t>get:boutique_designs</t>
  </si>
  <si>
    <t>/api/customers/(?P&lt;pk&gt;[/.]+)/create-order/</t>
  </si>
  <si>
    <t>post:create_order</t>
  </si>
  <si>
    <t>/api/customers/(?P&lt;pk&gt;[/.]+)/design-preferences/</t>
  </si>
  <si>
    <t>post:save_design_preferences</t>
  </si>
  <si>
    <t>/api/customers/(?P&lt;pk&gt;[/.]+)/design-preferences/(?P&lt;pref_id&gt;[/.]+)/approve/</t>
  </si>
  <si>
    <t>post:approve_design</t>
  </si>
  <si>
    <t>/api/customers/(?P&lt;pk&gt;[/.]+)/fabric-selections/</t>
  </si>
  <si>
    <t>post:save_fabric_selection</t>
  </si>
  <si>
    <t>/api/customers/(?P&lt;pk&gt;[/.]+)/measurement-history/</t>
  </si>
  <si>
    <t>get:measurement_history</t>
  </si>
  <si>
    <t>/api/customers/(?P&lt;pk&gt;[/.]+)/referrals/</t>
  </si>
  <si>
    <t>get:referrals, post:referrals</t>
  </si>
  <si>
    <t>CUS-036, CUS-037</t>
  </si>
  <si>
    <t>/api/customers/delete-all/</t>
  </si>
  <si>
    <t>post:delete_all</t>
  </si>
  <si>
    <t>/api/customers/import/</t>
  </si>
  <si>
    <t>post:import_customers</t>
  </si>
  <si>
    <t>CUS-040, CUS-041, CUS-042</t>
  </si>
  <si>
    <t>/api/notifications/</t>
  </si>
  <si>
    <t>NotificationViewSet</t>
  </si>
  <si>
    <t>INVT-077, NAV-015, NAV-022, NOTIF-001, NOTIF-003, NOTIF-004</t>
  </si>
  <si>
    <t>/api/notifications/(?P&lt;pk&gt;[/.]+)/</t>
  </si>
  <si>
    <t>/api/notifications/mark-all-read/</t>
  </si>
  <si>
    <t>post:mark_all_read</t>
  </si>
  <si>
    <t>NAV-011, NAV-016, NOTIF-002</t>
  </si>
  <si>
    <t>/api/order-drafts/</t>
  </si>
  <si>
    <t>OrderDraftViewSet</t>
  </si>
  <si>
    <t>LEAD-002, WIZ-001, WIZ-002, WIZ-004, WIZ-006, WIZ-045, WIZ-047, WIZ-064</t>
  </si>
  <si>
    <t>/api/order-drafts/(?P&lt;pk&gt;[/.]+)/</t>
  </si>
  <si>
    <t>get:retrieve, patch:partial_update, delete:destroy</t>
  </si>
  <si>
    <t>/api/order-drafts/(?P&lt;pk&gt;[/.]+)/confirm/</t>
  </si>
  <si>
    <t>post:confirm</t>
  </si>
  <si>
    <t>/api/orders/</t>
  </si>
  <si>
    <t>OrderViewSet</t>
  </si>
  <si>
    <t>AUTO-001, AUTO-005, DASH-008, DES-033, INVC-002, INVC-005, INVC-006, INVC-007, INVC-008, INVT-023, INVT-059, INVT-078 ...</t>
  </si>
  <si>
    <t>/api/orders/(?P&lt;pk&gt;[/.]+)/</t>
  </si>
  <si>
    <t>/api/orders/(?P&lt;pk&gt;[/.]+)/alterations/</t>
  </si>
  <si>
    <t>post:create_alteration</t>
  </si>
  <si>
    <t>CUS-028, ODT-026, ORD-016, WIZ-071</t>
  </si>
  <si>
    <t>/api/orders/(?P&lt;pk&gt;[/.]+)/assign-stage/</t>
  </si>
  <si>
    <t>post:assign_stage</t>
  </si>
  <si>
    <t>ODT-009, ODT-010, STG-012, WORK-020, WORK-034, WORK-045</t>
  </si>
  <si>
    <t>/api/orders/(?P&lt;pk&gt;[/.]+)/complete-all/</t>
  </si>
  <si>
    <t>post:complete_all</t>
  </si>
  <si>
    <t>ODT-004, WORK-032</t>
  </si>
  <si>
    <t>/api/orders/(?P&lt;pk&gt;[/.]+)/fail-qc/</t>
  </si>
  <si>
    <t>post:fail_qc</t>
  </si>
  <si>
    <t>STG-022, WORK-052</t>
  </si>
  <si>
    <t>/api/orders/(?P&lt;pk&gt;[/.]+)/garment-images/</t>
  </si>
  <si>
    <t>post:upload_garment_image</t>
  </si>
  <si>
    <t>ALT-001, ODT-033, ODT-034, WORK-038</t>
  </si>
  <si>
    <t>/api/orders/(?P&lt;pk&gt;[/.]+)/garment-images/(?P&lt;image_id&gt;[0-9]+)/</t>
  </si>
  <si>
    <t>delete:delete_garment_image</t>
  </si>
  <si>
    <t>/api/orders/(?P&lt;pk&gt;[/.]+)/mark-message-sent/</t>
  </si>
  <si>
    <t>post:mark_message_sent</t>
  </si>
  <si>
    <t>AUTO-004, ODT-019, SET-018</t>
  </si>
  <si>
    <t>/api/orders/(?P&lt;pk&gt;[/.]+)/master-verification/</t>
  </si>
  <si>
    <t>patch:master_verification</t>
  </si>
  <si>
    <t>ODT-027, WORK-036</t>
  </si>
  <si>
    <t>/api/orders/(?P&lt;pk&gt;[/.]+)/publish-garment-images/</t>
  </si>
  <si>
    <t>post:publish_garment_images</t>
  </si>
  <si>
    <t>AUTO-003, ODT-035, WORK-038</t>
  </si>
  <si>
    <t>/api/orders/(?P&lt;pk&gt;[/.]+)/reopen-stage/</t>
  </si>
  <si>
    <t>post:reopen_stage</t>
  </si>
  <si>
    <t>STG-021, WORK-051</t>
  </si>
  <si>
    <t>/api/orders/(?P&lt;pk&gt;[/.]+)/review-photo/</t>
  </si>
  <si>
    <t>post:review_photo</t>
  </si>
  <si>
    <t>ODT-030, STG-011, WORK-037, WORK-048</t>
  </si>
  <si>
    <t>/api/orders/(?P&lt;pk&gt;[/.]+)/send-to-workshop/</t>
  </si>
  <si>
    <t>post:send_to_workshop</t>
  </si>
  <si>
    <t>DES-039, ODT-002, ODT-003, ORD-015, WIZ-067, WORK-031</t>
  </si>
  <si>
    <t>/api/orders/(?P&lt;pk&gt;[/.]+)/set-flow/</t>
  </si>
  <si>
    <t>post:set_flow</t>
  </si>
  <si>
    <t>ODT-007, WORK-033</t>
  </si>
  <si>
    <t>/api/orders/(?P&lt;pk&gt;[/.]+)/stage-notes/(?P&lt;activity_id&gt;[0-9]+)/voice-note/</t>
  </si>
  <si>
    <t>delete:delete_stage_note_voice</t>
  </si>
  <si>
    <t>ACT-001, STG-009, WORK-049</t>
  </si>
  <si>
    <t>/api/orders/(?P&lt;pk&gt;[/.]+)/stage-seen/</t>
  </si>
  <si>
    <t>post:stage_seen</t>
  </si>
  <si>
    <t>CUS-026, STG-002, WORK-022</t>
  </si>
  <si>
    <t>/api/orders/(?P&lt;pk&gt;[/.]+)/submit-completion/</t>
  </si>
  <si>
    <t>patch:submit_completion</t>
  </si>
  <si>
    <t>Exists on the server, but no screen in the web app calls it.</t>
  </si>
  <si>
    <t>/api/orders/(?P&lt;pk&gt;[/.]+)/submit-stage-review/</t>
  </si>
  <si>
    <t>post:submit_stage_review</t>
  </si>
  <si>
    <t>/api/orders/(?P&lt;pk&gt;[/.]+)/transition/</t>
  </si>
  <si>
    <t>post:transition_stage</t>
  </si>
  <si>
    <t>ATT-016, ORD-023, STG-014, STG-015, STG-016, STG-017, STG-018, STG-019, STG-020, STG-023, WORK-014, WORK-015 ...</t>
  </si>
  <si>
    <t>/api/orders/(?P&lt;pk&gt;[/.]+)/update-status/</t>
  </si>
  <si>
    <t>patch:update_status</t>
  </si>
  <si>
    <t>/api/orders/assignable-staff/</t>
  </si>
  <si>
    <t>get:assignable_staff</t>
  </si>
  <si>
    <t>DES-039, WORK-020</t>
  </si>
  <si>
    <t>/api/orders/customer-messages/</t>
  </si>
  <si>
    <t>get:customer_messages</t>
  </si>
  <si>
    <t>AUTO-004, NAV-022, ODT-017, SET-018</t>
  </si>
  <si>
    <t>/api/orders/internal-production/</t>
  </si>
  <si>
    <t>post:internal_production</t>
  </si>
  <si>
    <t>IPRD-001, PROD-004</t>
  </si>
  <si>
    <t>/api/orders/outside-alteration/</t>
  </si>
  <si>
    <t>post:outside_alteration</t>
  </si>
  <si>
    <t>/api/tailors/</t>
  </si>
  <si>
    <t>TailorViewSet</t>
  </si>
  <si>
    <t>ANL-009, ATT-008, NAV-022, PERM-001, PROD-003, SET-013, STF-005, STF-019, STF-027</t>
  </si>
  <si>
    <t>/api/tailors/(?P&lt;pk&gt;[/.]+)/</t>
  </si>
  <si>
    <t>/api/tailors/(?P&lt;pk&gt;[/.]+)/reset-password/</t>
  </si>
  <si>
    <t>post:reset_password</t>
  </si>
  <si>
    <t>AUTH-025, STF-026</t>
  </si>
  <si>
    <t>/api/activities/</t>
  </si>
  <si>
    <t>Framework index page, not a feature.</t>
  </si>
  <si>
    <t>/api/activities/activities/</t>
  </si>
  <si>
    <t>UniversalActivityViewSet</t>
  </si>
  <si>
    <t>get:list</t>
  </si>
  <si>
    <t>/api/activities/activities/(?P&lt;pk&gt;[/.]+)/</t>
  </si>
  <si>
    <t>get:retrieve</t>
  </si>
  <si>
    <t>/api/alterations/</t>
  </si>
  <si>
    <t>AlterationRequestViewSet</t>
  </si>
  <si>
    <t>/api/alterations/(?P&lt;pk&gt;[/.]+)/</t>
  </si>
  <si>
    <t>/api/alterations/(?P&lt;pk&gt;[/.]+)/approve/</t>
  </si>
  <si>
    <t>post:approve</t>
  </si>
  <si>
    <t>Old alteration-request workflow. Its screen (AlterationsPanel.jsx) is not shown in the web app; alterations now run as orders (see Alterations / Orders rows).</t>
  </si>
  <si>
    <t>/api/alterations/(?P&lt;pk&gt;[/.]+)/assign/</t>
  </si>
  <si>
    <t>post:assign</t>
  </si>
  <si>
    <t>/api/alterations/(?P&lt;pk&gt;[/.]+)/cancel/</t>
  </si>
  <si>
    <t>post:cancel</t>
  </si>
  <si>
    <t>/api/alterations/(?P&lt;pk&gt;[/.]+)/complete/</t>
  </si>
  <si>
    <t>post:complete</t>
  </si>
  <si>
    <t>/api/alterations/(?P&lt;pk&gt;[/.]+)/customer-approved/</t>
  </si>
  <si>
    <t>post:customer_approved</t>
  </si>
  <si>
    <t>/api/alterations/(?P&lt;pk&gt;[/.]+)/customer-rejected/</t>
  </si>
  <si>
    <t>post:customer_rejected</t>
  </si>
  <si>
    <t>/api/alterations/(?P&lt;pk&gt;[/.]+)/fail-qc/</t>
  </si>
  <si>
    <t>/api/alterations/(?P&lt;pk&gt;[/.]+)/materials/</t>
  </si>
  <si>
    <t>get:materials, post:materials</t>
  </si>
  <si>
    <t>/api/alterations/(?P&lt;pk&gt;[/.]+)/outstanding-balance/</t>
  </si>
  <si>
    <t>get:outstanding_balance</t>
  </si>
  <si>
    <t>/api/alterations/(?P&lt;pk&gt;[/.]+)/pass-qc/</t>
  </si>
  <si>
    <t>post:pass_qc</t>
  </si>
  <si>
    <t>/api/alterations/(?P&lt;pk&gt;[/.]+)/payments/</t>
  </si>
  <si>
    <t>get:payments, post:payments</t>
  </si>
  <si>
    <t>/api/alterations/(?P&lt;pk&gt;[/.]+)/pressed/</t>
  </si>
  <si>
    <t>post:pressed</t>
  </si>
  <si>
    <t>/api/alterations/(?P&lt;pk&gt;[/.]+)/record-inspection/</t>
  </si>
  <si>
    <t>post:record_inspection</t>
  </si>
  <si>
    <t>/api/alterations/(?P&lt;pk&gt;[/.]+)/send-to-qc/</t>
  </si>
  <si>
    <t>post:send_to_qc</t>
  </si>
  <si>
    <t>/api/alterations/(?P&lt;pk&gt;[/.]+)/start-inspection/</t>
  </si>
  <si>
    <t>post:start_inspection</t>
  </si>
  <si>
    <t>/api/alterations/(?P&lt;pk&gt;[/.]+)/start-work/</t>
  </si>
  <si>
    <t>post:start_work</t>
  </si>
  <si>
    <t>/api/alterations/(?P&lt;pk&gt;[/.]+)/submit-for-approval/</t>
  </si>
  <si>
    <t>post:submit_for_approval</t>
  </si>
  <si>
    <t>/api/alterations/(?P&lt;pk&gt;[/.]+)/work-complete/</t>
  </si>
  <si>
    <t>post:work_complete</t>
  </si>
  <si>
    <t>/api/alterations/outside/</t>
  </si>
  <si>
    <t>post:create_outside</t>
  </si>
  <si>
    <t>/api/auth/boutique/&lt;slug:slug&gt;/</t>
  </si>
  <si>
    <t>BoutiqueBySlugView</t>
  </si>
  <si>
    <t>AUTH-002, AUTH-003, AUTH-004</t>
  </si>
  <si>
    <t>/api/auth/login/</t>
  </si>
  <si>
    <t>LoginView</t>
  </si>
  <si>
    <t>AUTH-005, AUTH-009, SA-049</t>
  </si>
  <si>
    <t>/api/auth/logout/</t>
  </si>
  <si>
    <t>LogoutView</t>
  </si>
  <si>
    <t>/api/auth/me/</t>
  </si>
  <si>
    <t>MeView</t>
  </si>
  <si>
    <t>ACC-002, AUTH-018, AUTH-019</t>
  </si>
  <si>
    <t>/api/auth/password-reset/</t>
  </si>
  <si>
    <t>PasswordResetRequestView</t>
  </si>
  <si>
    <t>ACC-003, AUTH-012, SA-049</t>
  </si>
  <si>
    <t>/api/auth/password-reset/confirm/</t>
  </si>
  <si>
    <t>PasswordResetConfirmView</t>
  </si>
  <si>
    <t>/api/auth/seed-data/</t>
  </si>
  <si>
    <t>SeedDataView</t>
  </si>
  <si>
    <t>Developer tool that loads sample data; not a user feature.</t>
  </si>
  <si>
    <t>/api/auth/signup/</t>
  </si>
  <si>
    <t>SignupView</t>
  </si>
  <si>
    <t>AUTH-014, AUTH-015</t>
  </si>
  <si>
    <t>/api/catalog/</t>
  </si>
  <si>
    <t>/api/catalog/jobs/</t>
  </si>
  <si>
    <t>GarmentJobViewSet</t>
  </si>
  <si>
    <t>/api/catalog/jobs/(?P&lt;pk&gt;[/.]+)/</t>
  </si>
  <si>
    <t>/api/catalog/jobs/(?P&lt;pk&gt;[/.]+)/materials/</t>
  </si>
  <si>
    <t>post:materials</t>
  </si>
  <si>
    <t>/api/catalog/jobs/(?P&lt;pk&gt;[/.]+)/materials/(?P&lt;material_id&gt;[/.]+)/</t>
  </si>
  <si>
    <t>delete:remove_material</t>
  </si>
  <si>
    <t>/api/catalog/templates/</t>
  </si>
  <si>
    <t>GarmentTemplateViewSet</t>
  </si>
  <si>
    <t>CAT-001, DES-017, DES-026, DES-045, IPRD-002, PROD-003, WIZ-013, WIZ-014, WIZ-019, WIZ-025, WIZ-029, WIZ-046</t>
  </si>
  <si>
    <t>/api/catalog/templates/(?P&lt;key&gt;[/.]+)/</t>
  </si>
  <si>
    <t>/api/catalog/templates/(?P&lt;key&gt;[/.]+)/validate/</t>
  </si>
  <si>
    <t>post:validate</t>
  </si>
  <si>
    <t>/api/client-errors/</t>
  </si>
  <si>
    <t>ClientErrorView</t>
  </si>
  <si>
    <t>AUTH-024, SA-005, SA-048</t>
  </si>
  <si>
    <t>/api/daily-summary/settings/</t>
  </si>
  <si>
    <t>SummaryPreferenceView</t>
  </si>
  <si>
    <t>AUTO-010, SET-010, SET-011</t>
  </si>
  <si>
    <t>/api/daily-summary/settings/&lt;int:user_id&gt;/</t>
  </si>
  <si>
    <t>/api/dashboard/</t>
  </si>
  <si>
    <t>DashboardView</t>
  </si>
  <si>
    <t>ANL-010, DASH-002, DASH-004, DASH-005, DASH-006, DASH-007, DASH-009, DASH-010, DASH-015, INVT-003, NAV-022</t>
  </si>
  <si>
    <t>/api/design-studio/</t>
  </si>
  <si>
    <t>/api/design-studio/assets/</t>
  </si>
  <si>
    <t>DesignAssetViewSet</t>
  </si>
  <si>
    <t>DES-002, DES-015, DES-016, DES-018, DES-019, DES-022, DES-026, DES-027, DES-038, DES-045, IPRD-002, WIZ-025</t>
  </si>
  <si>
    <t>/api/design-studio/assets/(?P&lt;pk&gt;[/.]+)/</t>
  </si>
  <si>
    <t>/api/design-studio/assets/(?P&lt;pk&gt;[/.]+)/approval-history/</t>
  </si>
  <si>
    <t>get:approval_history</t>
  </si>
  <si>
    <t>/api/design-studio/assets/(?P&lt;pk&gt;[/.]+)/favourite/</t>
  </si>
  <si>
    <t>post:favourite</t>
  </si>
  <si>
    <t>/api/design-studio/assets/(?P&lt;pk&gt;[/.]+)/review/</t>
  </si>
  <si>
    <t>post:review</t>
  </si>
  <si>
    <t>/api/design-studio/assignments/</t>
  </si>
  <si>
    <t>DesignAssignmentViewSet</t>
  </si>
  <si>
    <t>DES-032, DES-033, DES-034, DES-035, DES-037</t>
  </si>
  <si>
    <t>/api/design-studio/assignments/(?P&lt;pk&gt;[/.]+)/</t>
  </si>
  <si>
    <t>/api/design-studio/assignments/(?P&lt;pk&gt;[/.]+)/review/</t>
  </si>
  <si>
    <t>/api/design-studio/assignments/(?P&lt;pk&gt;[/.]+)/submit/</t>
  </si>
  <si>
    <t>post:submit</t>
  </si>
  <si>
    <t>/api/design-studio/boards/</t>
  </si>
  <si>
    <t>DesignBoardViewSet</t>
  </si>
  <si>
    <t>/api/design-studio/boards/(?P&lt;pk&gt;[/.]+)/</t>
  </si>
  <si>
    <t>/api/design-studio/boards/(?P&lt;pk&gt;[/.]+)/approve/</t>
  </si>
  <si>
    <t>/api/design-studio/boards/(?P&lt;pk&gt;[/.]+)/items/</t>
  </si>
  <si>
    <t>post:add_item</t>
  </si>
  <si>
    <t>/api/design-studio/boards/(?P&lt;pk&gt;[/.]+)/items/(?P&lt;item_id&gt;[/.]+)/</t>
  </si>
  <si>
    <t>delete:remove_item</t>
  </si>
  <si>
    <t>/api/design-studio/boards/(?P&lt;pk&gt;[/.]+)/items/(?P&lt;item_id&gt;[/.]+)/customise/</t>
  </si>
  <si>
    <t>patch:customise_item</t>
  </si>
  <si>
    <t>Design-board screen (DesignStudio.jsx) is not shown in the web app.</t>
  </si>
  <si>
    <t>/api/design-studio/boards/(?P&lt;pk&gt;[/.]+)/items/(?P&lt;item_id&gt;[/.]+)/production-notes/</t>
  </si>
  <si>
    <t>patch:production_notes</t>
  </si>
  <si>
    <t>/api/design-studio/boards/(?P&lt;pk&gt;[/.]+)/items/(?P&lt;item_id&gt;[/.]+)/select/</t>
  </si>
  <si>
    <t>post:select_item</t>
  </si>
  <si>
    <t>/api/design-studio/boards/(?P&lt;pk&gt;[/.]+)/save-to-order/</t>
  </si>
  <si>
    <t>post:save_to_order</t>
  </si>
  <si>
    <t>/api/design-studio/collections/</t>
  </si>
  <si>
    <t>CollectionViewSet</t>
  </si>
  <si>
    <t>DES-019, DES-028</t>
  </si>
  <si>
    <t>/api/design-studio/collections/(?P&lt;pk&gt;[/.]+)/</t>
  </si>
  <si>
    <t>/api/design-studio/customer-designs/</t>
  </si>
  <si>
    <t>CustomerDesignViewSet</t>
  </si>
  <si>
    <t>DES-040, DES-041, DES-042, DES-043, DES-044, WIZ-034, WIZ-035</t>
  </si>
  <si>
    <t>/api/design-studio/customer-designs/(?P&lt;pk&gt;[/.]+)/</t>
  </si>
  <si>
    <t>/api/design-studio/designers/</t>
  </si>
  <si>
    <t>DesignerViewSet</t>
  </si>
  <si>
    <t>DES-008, DES-009, DES-011, DES-013, DES-014, DES-019, DES-033, PERM-001, SET-013, STF-005, STF-020, STF-027 ...</t>
  </si>
  <si>
    <t>/api/design-studio/designers/(?P&lt;pk&gt;[/.]+)/</t>
  </si>
  <si>
    <t>/api/design-studio/designers/(?P&lt;pk&gt;[/.]+)/create-login/</t>
  </si>
  <si>
    <t>post:create_login</t>
  </si>
  <si>
    <t>AUTH-025, DES-010, DES-011, STF-020</t>
  </si>
  <si>
    <t>/api/design-studio/designers/(?P&lt;pk&gt;[/.]+)/portfolio/</t>
  </si>
  <si>
    <t>get:portfolio</t>
  </si>
  <si>
    <t>/api/design-studio/designers/(?P&lt;pk&gt;[/.]+)/reset-password/</t>
  </si>
  <si>
    <t>AUTH-025, DES-012, STF-026</t>
  </si>
  <si>
    <t>/api/design-studio/catalogue/</t>
  </si>
  <si>
    <t>DesignCatalogueView</t>
  </si>
  <si>
    <t>/api/design-studio/categories/</t>
  </si>
  <si>
    <t>DesignCategoryView</t>
  </si>
  <si>
    <t>DES-006, DES-015</t>
  </si>
  <si>
    <t>/api/design-studio/context/</t>
  </si>
  <si>
    <t>DesignContextView</t>
  </si>
  <si>
    <t>/api/design-studio/dashboard/</t>
  </si>
  <si>
    <t>DesignDashboardView</t>
  </si>
  <si>
    <t>DES-004, DES-005, DES-007</t>
  </si>
  <si>
    <t>/api/design-studio/discover/</t>
  </si>
  <si>
    <t>DesignDiscoveryView</t>
  </si>
  <si>
    <t>/api/design-studio/part-images/</t>
  </si>
  <si>
    <t>GarmentPartImageView</t>
  </si>
  <si>
    <t>/api/design-studio/preview/</t>
  </si>
  <si>
    <t>GarmentPreviewView</t>
  </si>
  <si>
    <t>DES-048, WIZ-048, WIZ-051, WIZ-056</t>
  </si>
  <si>
    <t>/api/design-studio/preview/cancel/</t>
  </si>
  <si>
    <t>GarmentPreviewCancelView</t>
  </si>
  <si>
    <t>DES-048, WIZ-051</t>
  </si>
  <si>
    <t>/api/design-studio/reference-upload/</t>
  </si>
  <si>
    <t>ReferenceUploadView</t>
  </si>
  <si>
    <t>DES-046, WIZ-020, WIZ-030, WIZ-042, WIZ-044, WIZ-049</t>
  </si>
  <si>
    <t>/api/design-studio/web-keep/</t>
  </si>
  <si>
    <t>WebDesignKeepView</t>
  </si>
  <si>
    <t>DES-047, WIZ-032</t>
  </si>
  <si>
    <t>/api/design-studio/web-search/</t>
  </si>
  <si>
    <t>WebDesignSearchView</t>
  </si>
  <si>
    <t>/api/email/jobs/&lt;str:job_id&gt;/</t>
  </si>
  <si>
    <t>EmailJobStatusAPIView</t>
  </si>
  <si>
    <t>Internal email service used by the server; no screen calls it.</t>
  </si>
  <si>
    <t>/api/email/queue/</t>
  </si>
  <si>
    <t>QueueEmailAPIView</t>
  </si>
  <si>
    <t>/api/email/send-async/</t>
  </si>
  <si>
    <t>/api/email/send-bulk/</t>
  </si>
  <si>
    <t>SendBulkEmailAPIView</t>
  </si>
  <si>
    <t>/api/email/send-many/</t>
  </si>
  <si>
    <t>/api/email/send/</t>
  </si>
  <si>
    <t>SendEmailAPIView</t>
  </si>
  <si>
    <t>/api/finance/</t>
  </si>
  <si>
    <t>/api/finance/expenses/</t>
  </si>
  <si>
    <t>ExpenseViewSet</t>
  </si>
  <si>
    <t>FIN-009, FIN-010, FIN-011, FIN-012, FIN-016</t>
  </si>
  <si>
    <t>/api/finance/expenses/(?P&lt;pk&gt;[/.]+)/</t>
  </si>
  <si>
    <t>/api/finance/payments/</t>
  </si>
  <si>
    <t>PaymentViewSet</t>
  </si>
  <si>
    <t>/api/finance/payments/(?P&lt;pk&gt;[/.]+)/</t>
  </si>
  <si>
    <t>/api/finance/profit-loss/</t>
  </si>
  <si>
    <t>ProfitLossView</t>
  </si>
  <si>
    <t>FIN-002, FIN-003, FIN-004, FIN-005, FIN-006, FIN-007, FIN-008</t>
  </si>
  <si>
    <t>/api/finance/trend/</t>
  </si>
  <si>
    <t>TrendView</t>
  </si>
  <si>
    <t>/api/inventory/</t>
  </si>
  <si>
    <t>/api/inventory/bom-lines/</t>
  </si>
  <si>
    <t>BomLineViewSet</t>
  </si>
  <si>
    <t>/api/inventory/bom-lines/(?P&lt;pk&gt;[/.]+)/</t>
  </si>
  <si>
    <t>/api/inventory/boms/</t>
  </si>
  <si>
    <t>BillOfMaterialsViewSet</t>
  </si>
  <si>
    <t>INVT-044, INVT-045, INVT-046</t>
  </si>
  <si>
    <t>/api/inventory/boms/(?P&lt;pk&gt;[/.]+)/</t>
  </si>
  <si>
    <t>/api/inventory/boms/(?P&lt;pk&gt;[/.]+)/new-version/</t>
  </si>
  <si>
    <t>post:new_version</t>
  </si>
  <si>
    <t>/api/inventory/boms/(?P&lt;pk&gt;[/.]+)/requirements/</t>
  </si>
  <si>
    <t>post:requirements</t>
  </si>
  <si>
    <t>/api/inventory/catalog/items/</t>
  </si>
  <si>
    <t>CatalogItemViewSet</t>
  </si>
  <si>
    <t>INVT-036, INVT-037</t>
  </si>
  <si>
    <t>/api/inventory/catalog/items/(?P&lt;pk&gt;[/.]+)/</t>
  </si>
  <si>
    <t>/api/inventory/catalog/items/(?P&lt;pk&gt;[/.]+)/stock/</t>
  </si>
  <si>
    <t>post:stock</t>
  </si>
  <si>
    <t>/api/inventory/catalog/items/sections/</t>
  </si>
  <si>
    <t>get:sections</t>
  </si>
  <si>
    <t>/api/inventory/catalog/sections/</t>
  </si>
  <si>
    <t>CatalogSectionViewSet</t>
  </si>
  <si>
    <t>/api/inventory/catalog/sections/(?P&lt;pk&gt;[/.]+)/</t>
  </si>
  <si>
    <t>/api/inventory/customer-materials/</t>
  </si>
  <si>
    <t>CustomerMaterialViewSet</t>
  </si>
  <si>
    <t>/api/inventory/customer-materials/(?P&lt;pk&gt;[/.]+)/</t>
  </si>
  <si>
    <t>/api/inventory/customer-materials/(?P&lt;pk&gt;[/.]+)/damage/</t>
  </si>
  <si>
    <t>post:damage</t>
  </si>
  <si>
    <t>/api/inventory/customer-materials/(?P&lt;pk&gt;[/.]+)/movements/</t>
  </si>
  <si>
    <t>get:movements</t>
  </si>
  <si>
    <t>/api/inventory/customer-materials/(?P&lt;pk&gt;[/.]+)/return/</t>
  </si>
  <si>
    <t>post:return_to_customer</t>
  </si>
  <si>
    <t>/api/inventory/customer-materials/(?P&lt;pk&gt;[/.]+)/use/</t>
  </si>
  <si>
    <t>post:use</t>
  </si>
  <si>
    <t>/api/inventory/items/</t>
  </si>
  <si>
    <t>InventoryItemViewSet</t>
  </si>
  <si>
    <t>DES-021, INVT-004, INVT-012, INVT-013, INVT-014, INVT-015, INVT-018, INVT-028, INVT-029, INVT-033, INVT-034, INVT-038 ...</t>
  </si>
  <si>
    <t>/api/inventory/items/(?P&lt;pk&gt;[/.]+)/</t>
  </si>
  <si>
    <t>/api/inventory/items/(?P&lt;pk&gt;[/.]+)/adjust/</t>
  </si>
  <si>
    <t>post:adjust</t>
  </si>
  <si>
    <t>/api/inventory/items/(?P&lt;pk&gt;[/.]+)/consume/</t>
  </si>
  <si>
    <t>post:consume</t>
  </si>
  <si>
    <t>/api/inventory/items/(?P&lt;pk&gt;[/.]+)/customer-return/</t>
  </si>
  <si>
    <t>post:customer_return</t>
  </si>
  <si>
    <t>/api/inventory/items/(?P&lt;pk&gt;[/.]+)/damage/</t>
  </si>
  <si>
    <t>/api/inventory/items/(?P&lt;pk&gt;[/.]+)/goods-receipt/</t>
  </si>
  <si>
    <t>post:goods_receipt</t>
  </si>
  <si>
    <t>/api/inventory/items/(?P&lt;pk&gt;[/.]+)/issue/</t>
  </si>
  <si>
    <t>post:issue</t>
  </si>
  <si>
    <t>/api/inventory/items/(?P&lt;pk&gt;[/.]+)/locations/</t>
  </si>
  <si>
    <t>get:locations</t>
  </si>
  <si>
    <t>INVT-024, INVT-042</t>
  </si>
  <si>
    <t>/api/inventory/items/(?P&lt;pk&gt;[/.]+)/movements/</t>
  </si>
  <si>
    <t>/api/inventory/items/(?P&lt;pk&gt;[/.]+)/release/</t>
  </si>
  <si>
    <t>post:release</t>
  </si>
  <si>
    <t>/api/inventory/items/(?P&lt;pk&gt;[/.]+)/reserve/</t>
  </si>
  <si>
    <t>post:reserve</t>
  </si>
  <si>
    <t>/api/inventory/items/(?P&lt;pk&gt;[/.]+)/return/</t>
  </si>
  <si>
    <t>post:return_material</t>
  </si>
  <si>
    <t>/api/inventory/items/(?P&lt;pk&gt;[/.]+)/scrap/</t>
  </si>
  <si>
    <t>post:scrap</t>
  </si>
  <si>
    <t>/api/inventory/items/(?P&lt;pk&gt;[/.]+)/stock-in/</t>
  </si>
  <si>
    <t>post:stock_in</t>
  </si>
  <si>
    <t>/api/inventory/items/(?P&lt;pk&gt;[/.]+)/supplier-return/</t>
  </si>
  <si>
    <t>post:supplier_return</t>
  </si>
  <si>
    <t>/api/inventory/items/(?P&lt;pk&gt;[/.]+)/transfer/</t>
  </si>
  <si>
    <t>post:transfer</t>
  </si>
  <si>
    <t>/api/inventory/items/(?P&lt;pk&gt;[/.]+)/waste/</t>
  </si>
  <si>
    <t>post:waste</t>
  </si>
  <si>
    <t>/api/inventory/items/options/</t>
  </si>
  <si>
    <t>get:options_metadata</t>
  </si>
  <si>
    <t>/api/inventory/items/summary/</t>
  </si>
  <si>
    <t>get:summary</t>
  </si>
  <si>
    <t>INVT-004, INVT-005, INVT-006, INVT-007, INVT-008</t>
  </si>
  <si>
    <t>/api/inventory/items/taxonomy/</t>
  </si>
  <si>
    <t>get:taxonomy</t>
  </si>
  <si>
    <t>/api/inventory/items/upload-images/</t>
  </si>
  <si>
    <t>post:upload_images</t>
  </si>
  <si>
    <t>/api/inventory/location-stock/</t>
  </si>
  <si>
    <t>LocationStockViewSet</t>
  </si>
  <si>
    <t>/api/inventory/location-stock/(?P&lt;pk&gt;[/.]+)/</t>
  </si>
  <si>
    <t>/api/inventory/locations/</t>
  </si>
  <si>
    <t>StockLocationViewSet</t>
  </si>
  <si>
    <t>INVT-039, INVT-040, INVT-041</t>
  </si>
  <si>
    <t>/api/inventory/locations/(?P&lt;pk&gt;[/.]+)/</t>
  </si>
  <si>
    <t>/api/inventory/locations/(?P&lt;pk&gt;[/.]+)/stock/</t>
  </si>
  <si>
    <t>get:stock</t>
  </si>
  <si>
    <t>/api/inventory/material-plans/</t>
  </si>
  <si>
    <t>OrderMaterialPlanViewSet</t>
  </si>
  <si>
    <t>/api/inventory/material-plans/(?P&lt;pk&gt;[/.]+)/</t>
  </si>
  <si>
    <t>/api/inventory/material-plans/(?P&lt;pk&gt;[/.]+)/availability/</t>
  </si>
  <si>
    <t>get:availability</t>
  </si>
  <si>
    <t>/api/inventory/material-plans/(?P&lt;pk&gt;[/.]+)/cancel/</t>
  </si>
  <si>
    <t>/api/inventory/material-plans/(?P&lt;pk&gt;[/.]+)/close/</t>
  </si>
  <si>
    <t>post:close</t>
  </si>
  <si>
    <t>/api/inventory/material-plans/(?P&lt;pk&gt;[/.]+)/consume/</t>
  </si>
  <si>
    <t>INVT-064, STG-005, WORK-053</t>
  </si>
  <si>
    <t>/api/inventory/material-plans/(?P&lt;pk&gt;[/.]+)/deduct-packaging/</t>
  </si>
  <si>
    <t>post:deduct_packaging</t>
  </si>
  <si>
    <t>/api/inventory/material-plans/(?P&lt;pk&gt;[/.]+)/gather/</t>
  </si>
  <si>
    <t>post:gather</t>
  </si>
  <si>
    <t>INVT-062, ODT-023, WORK-039</t>
  </si>
  <si>
    <t>/api/inventory/material-plans/(?P&lt;pk&gt;[/.]+)/line-photo/</t>
  </si>
  <si>
    <t>post:line_photo</t>
  </si>
  <si>
    <t>INVT-063, ODT-024, WORK-039</t>
  </si>
  <si>
    <t>/api/inventory/material-plans/(?P&lt;pk&gt;[/.]+)/reconcile/</t>
  </si>
  <si>
    <t>get:reconcile</t>
  </si>
  <si>
    <t>/api/inventory/material-plans/(?P&lt;pk&gt;[/.]+)/release-unused/</t>
  </si>
  <si>
    <t>post:release_unused</t>
  </si>
  <si>
    <t>/api/inventory/material-plans/(?P&lt;pk&gt;[/.]+)/reserve/</t>
  </si>
  <si>
    <t>/api/inventory/material-plans/checklist/</t>
  </si>
  <si>
    <t>get:checklist</t>
  </si>
  <si>
    <t>INVT-061, ODT-022, WORK-039, WORK-053</t>
  </si>
  <si>
    <t>/api/inventory/material-plans/plan/</t>
  </si>
  <si>
    <t>post:plan</t>
  </si>
  <si>
    <t>/api/inventory/movements/</t>
  </si>
  <si>
    <t>StockMovementViewSet</t>
  </si>
  <si>
    <t>/api/inventory/movements/(?P&lt;pk&gt;[/.]+)/</t>
  </si>
  <si>
    <t>/api/inventory/order-purchases/</t>
  </si>
  <si>
    <t>OrderPurchaseViewSet</t>
  </si>
  <si>
    <t>INVT-053, INVT-058</t>
  </si>
  <si>
    <t>/api/inventory/order-purchases/(?P&lt;pk&gt;[/.]+)/</t>
  </si>
  <si>
    <t>/api/inventory/order-purchases/(?P&lt;pk&gt;[/.]+)/cancel/</t>
  </si>
  <si>
    <t>/api/inventory/order-purchases/(?P&lt;pk&gt;[/.]+)/purchased/</t>
  </si>
  <si>
    <t>post:purchased</t>
  </si>
  <si>
    <t>/api/inventory/order-purchases/(?P&lt;pk&gt;[/.]+)/received/</t>
  </si>
  <si>
    <t>post:received</t>
  </si>
  <si>
    <t>/api/inventory/order-purchases/(?P&lt;pk&gt;[/.]+)/use/</t>
  </si>
  <si>
    <t>/api/inventory/purchase-orders/</t>
  </si>
  <si>
    <t>PurchaseOrderViewSet</t>
  </si>
  <si>
    <t>/api/inventory/purchase-orders/(?P&lt;pk&gt;[/.]+)/</t>
  </si>
  <si>
    <t>/api/inventory/purchase-orders/(?P&lt;pk&gt;[/.]+)/receive/</t>
  </si>
  <si>
    <t>post:receive</t>
  </si>
  <si>
    <t>/api/inventory/reports/consumption/</t>
  </si>
  <si>
    <t>InventoryReportViewSet</t>
  </si>
  <si>
    <t>get:consumption</t>
  </si>
  <si>
    <t>/api/inventory/reports/cost-per-order/</t>
  </si>
  <si>
    <t>get:cost_per_order</t>
  </si>
  <si>
    <t>/api/inventory/reports/dashboard/</t>
  </si>
  <si>
    <t>get:dashboard</t>
  </si>
  <si>
    <t>INVT-068, INVT-069, INVT-070, INVT-071, INVT-072, INVT-073, INVT-074, INVT-075</t>
  </si>
  <si>
    <t>/api/inventory/reports/loss-rates/</t>
  </si>
  <si>
    <t>get:loss_rates</t>
  </si>
  <si>
    <t>/api/inventory/reports/low-stock/</t>
  </si>
  <si>
    <t>get:low_stock</t>
  </si>
  <si>
    <t>/api/inventory/reports/movement-summary/</t>
  </si>
  <si>
    <t>get:movement_summary</t>
  </si>
  <si>
    <t>/api/inventory/reports/movements/</t>
  </si>
  <si>
    <t>/api/inventory/reports/order-usage/</t>
  </si>
  <si>
    <t>get:order_usage</t>
  </si>
  <si>
    <t>/api/inventory/reports/stock-position/</t>
  </si>
  <si>
    <t>get:stock_position</t>
  </si>
  <si>
    <t>/api/inventory/reports/suppliers/</t>
  </si>
  <si>
    <t>get:suppliers</t>
  </si>
  <si>
    <t>/api/inventory/suppliers/</t>
  </si>
  <si>
    <t>SupplierViewSet</t>
  </si>
  <si>
    <t>INVT-004, INVT-050, INVT-051</t>
  </si>
  <si>
    <t>/api/inventory/suppliers/(?P&lt;pk&gt;[/.]+)/</t>
  </si>
  <si>
    <t>/api/inventory/unit-conversions/</t>
  </si>
  <si>
    <t>UnitConversionViewSet</t>
  </si>
  <si>
    <t>/api/inventory/unit-conversions/(?P&lt;pk&gt;[/.]+)/</t>
  </si>
  <si>
    <t>/api/payroll/</t>
  </si>
  <si>
    <t>/api/payroll/advances/</t>
  </si>
  <si>
    <t>StaffAdvanceViewSet</t>
  </si>
  <si>
    <t>STF-005, STF-028, STF-029</t>
  </si>
  <si>
    <t>/api/payroll/advances/(?P&lt;pk&gt;[/.]+)/</t>
  </si>
  <si>
    <t>/api/payroll/advances/(?P&lt;pk&gt;[/.]+)/cancel/</t>
  </si>
  <si>
    <t>/api/payroll/deposits/</t>
  </si>
  <si>
    <t>DepositViewSet</t>
  </si>
  <si>
    <t>STF-005, STF-030</t>
  </si>
  <si>
    <t>/api/payroll/deposits/(?P&lt;pk&gt;[/.]+)/</t>
  </si>
  <si>
    <t>/api/payroll/periods/</t>
  </si>
  <si>
    <t>PayrollPeriodViewSet</t>
  </si>
  <si>
    <t>/api/payroll/periods/(?P&lt;pk&gt;[/.]+)/</t>
  </si>
  <si>
    <t>/api/payroll/periods/(?P&lt;pk&gt;[/.]+)/approve/</t>
  </si>
  <si>
    <t>/api/payroll/periods/generate/</t>
  </si>
  <si>
    <t>post:generate</t>
  </si>
  <si>
    <t>PRL-002, PRL-005</t>
  </si>
  <si>
    <t>/api/payroll/records/</t>
  </si>
  <si>
    <t>PayrollRecordViewSet</t>
  </si>
  <si>
    <t>/api/payroll/records/(?P&lt;pk&gt;[/.]+)/</t>
  </si>
  <si>
    <t>/api/payroll/records/(?P&lt;pk&gt;[/.]+)/payout/</t>
  </si>
  <si>
    <t>post:payout</t>
  </si>
  <si>
    <t>/api/production/</t>
  </si>
  <si>
    <t>/api/production/qc/</t>
  </si>
  <si>
    <t>QCRecordViewSet</t>
  </si>
  <si>
    <t>/api/production/qc/(?P&lt;pk&gt;[/.]+)/</t>
  </si>
  <si>
    <t>/api/production/tasks/</t>
  </si>
  <si>
    <t>ProductionTaskViewSet</t>
  </si>
  <si>
    <t>/api/production/tasks/(?P&lt;pk&gt;[/.]+)/</t>
  </si>
  <si>
    <t>/api/scheduling/</t>
  </si>
  <si>
    <t>AppointmentViewSet</t>
  </si>
  <si>
    <t>APPT-001, APPT-003, APPT-004, APPT-005, APPT-006, APPT-008, APPT-009, APPT-010, APPT-011, DASH-011, DASH-012, DASH-013 ...</t>
  </si>
  <si>
    <t>/api/scheduling/appointments/(?P&lt;pk&gt;[/.]+)/</t>
  </si>
  <si>
    <t>/api/settings/invoice-template/</t>
  </si>
  <si>
    <t>InvoiceTemplateView</t>
  </si>
  <si>
    <t>INVC-010, OINV-002, PUB-002, SET-007, SET-009</t>
  </si>
  <si>
    <t>/api/staff/</t>
  </si>
  <si>
    <t>/api/staff/attendance/</t>
  </si>
  <si>
    <t>AttendanceSessionViewSet</t>
  </si>
  <si>
    <t>ATT-008, ATT-014, STF-005, STF-031</t>
  </si>
  <si>
    <t>/api/staff/attendance/(?P&lt;pk&gt;[/.]+)/</t>
  </si>
  <si>
    <t>/api/staff/attendance/(?P&lt;pk&gt;[/.]+)/correct/</t>
  </si>
  <si>
    <t>post:correct</t>
  </si>
  <si>
    <t>/api/staff/attendance/check-in/</t>
  </si>
  <si>
    <t>post:check_in</t>
  </si>
  <si>
    <t>ATT-001, ATT-004</t>
  </si>
  <si>
    <t>/api/staff/attendance/check-out/</t>
  </si>
  <si>
    <t>post:check_out</t>
  </si>
  <si>
    <t>/api/staff/attendance/current/</t>
  </si>
  <si>
    <t>get:current</t>
  </si>
  <si>
    <t>ATT-002, ATT-014</t>
  </si>
  <si>
    <t>/api/staff/attendance/record/</t>
  </si>
  <si>
    <t>post:record</t>
  </si>
  <si>
    <t>/api/staff/day-marks/</t>
  </si>
  <si>
    <t>DayMarkViewSet</t>
  </si>
  <si>
    <t>ATT-008, ATT-013</t>
  </si>
  <si>
    <t>/api/staff/day-marks/(?P&lt;pk&gt;[/.]+)/</t>
  </si>
  <si>
    <t>/api/staff/documents/</t>
  </si>
  <si>
    <t>StaffDocumentViewSet</t>
  </si>
  <si>
    <t>STF-023, STF-024</t>
  </si>
  <si>
    <t>/api/staff/documents/(?P&lt;pk&gt;[/.]+)/</t>
  </si>
  <si>
    <t>/api/staff/profiles/</t>
  </si>
  <si>
    <t>StaffProfileViewSet</t>
  </si>
  <si>
    <t>STF-005, STF-016, STF-022</t>
  </si>
  <si>
    <t>/api/staff/profiles/(?P&lt;pk&gt;[/.]+)/</t>
  </si>
  <si>
    <t>/api/staff/reviews/</t>
  </si>
  <si>
    <t>StaffPerformanceReviewViewSet</t>
  </si>
  <si>
    <t>PERF-002, PERF-004, PERF-005, PERF-006</t>
  </si>
  <si>
    <t>/api/staff/reviews/(?P&lt;pk&gt;[/.]+)/</t>
  </si>
  <si>
    <t>/api/staff/reviews/(?P&lt;pk&gt;[/.]+)/acknowledge/</t>
  </si>
  <si>
    <t>post:acknowledge</t>
  </si>
  <si>
    <t>/api/staff/reviews/(?P&lt;pk&gt;[/.]+)/finalise/</t>
  </si>
  <si>
    <t>post:finalise</t>
  </si>
  <si>
    <t>/api/staff/performance/</t>
  </si>
  <si>
    <t>PerformanceView</t>
  </si>
  <si>
    <t>PERF-001, PERF-002</t>
  </si>
  <si>
    <t>/api/staff/timesheet/</t>
  </si>
  <si>
    <t>TimesheetView</t>
  </si>
  <si>
    <t>/api/superadmin/leads/</t>
  </si>
  <si>
    <t>LeadViewSet</t>
  </si>
  <si>
    <t>SA-026, SA-027</t>
  </si>
  <si>
    <t>/api/superadmin/leads/(?P&lt;pk&gt;[/.]+)/</t>
  </si>
  <si>
    <t>/api/superadmin/audit/</t>
  </si>
  <si>
    <t>AuditView</t>
  </si>
  <si>
    <t>/api/superadmin/auth/login/</t>
  </si>
  <si>
    <t>PlatformLoginView</t>
  </si>
  <si>
    <t>SA-001, SA-049</t>
  </si>
  <si>
    <t>/api/superadmin/auth/logout/</t>
  </si>
  <si>
    <t>PlatformLogoutView</t>
  </si>
  <si>
    <t>/api/superadmin/auth/me/</t>
  </si>
  <si>
    <t>PlatformMeView</t>
  </si>
  <si>
    <t>/api/superadmin/boutiques/</t>
  </si>
  <si>
    <t>TenantViewSet</t>
  </si>
  <si>
    <t>/api/superadmin/boutiques/&lt;str:schema_name&gt;/</t>
  </si>
  <si>
    <t>get:retrieve, delete:destroy</t>
  </si>
  <si>
    <t>/api/superadmin/boutiques/&lt;str:schema_name&gt;/appearance/</t>
  </si>
  <si>
    <t>BoutiqueAppearanceView</t>
  </si>
  <si>
    <t>/api/superadmin/boutiques/&lt;str:schema_name&gt;/data/</t>
  </si>
  <si>
    <t>BoutiqueDataView</t>
  </si>
  <si>
    <t>SA-018, SET-017</t>
  </si>
  <si>
    <t>/api/superadmin/boutiques/&lt;str:schema_name&gt;/data/&lt;str:key&gt;/</t>
  </si>
  <si>
    <t>/api/superadmin/boutiques/&lt;str:schema_name&gt;/modules/</t>
  </si>
  <si>
    <t>BoutiqueModulesView</t>
  </si>
  <si>
    <t>SA-029, SA-030</t>
  </si>
  <si>
    <t>/api/superadmin/boutiques/&lt;str:schema_name&gt;/portal-access/</t>
  </si>
  <si>
    <t>BoutiquePortalAccessView</t>
  </si>
  <si>
    <t>/api/superadmin/boutiques/&lt;str:schema_name&gt;/reactivate/</t>
  </si>
  <si>
    <t>post:reactivate</t>
  </si>
  <si>
    <t>Platform console endpoint not called by any console screen.</t>
  </si>
  <si>
    <t>/api/superadmin/boutiques/&lt;str:schema_name&gt;/suspend/</t>
  </si>
  <si>
    <t>post:suspend</t>
  </si>
  <si>
    <t>/api/superadmin/config/</t>
  </si>
  <si>
    <t>ConfigView</t>
  </si>
  <si>
    <t>SA-032, SA-033, SA-034, SA-038</t>
  </si>
  <si>
    <t>/api/superadmin/errors/</t>
  </si>
  <si>
    <t>ErrorsView</t>
  </si>
  <si>
    <t>SA-039, SA-040, SA-041</t>
  </si>
  <si>
    <t>/api/superadmin/errors/&lt;int:pk&gt;/</t>
  </si>
  <si>
    <t>ErrorDetailView</t>
  </si>
  <si>
    <t>/api/superadmin/errors/summary/</t>
  </si>
  <si>
    <t>ErrorSummaryView</t>
  </si>
  <si>
    <t>SA-004, SA-006, SA-007</t>
  </si>
  <si>
    <t>/api/superadmin/flags/</t>
  </si>
  <si>
    <t>FlagsView</t>
  </si>
  <si>
    <t>/api/superadmin/flags/&lt;str:key&gt;/</t>
  </si>
  <si>
    <t>FlagDetailView</t>
  </si>
  <si>
    <t>/api/superadmin/health/</t>
  </si>
  <si>
    <t>HealthView</t>
  </si>
  <si>
    <t>SA-008, SA-010, SA-037, SA-038</t>
  </si>
  <si>
    <t>/api/superadmin/modules/</t>
  </si>
  <si>
    <t>ModulesView</t>
  </si>
  <si>
    <t>SA-029, SA-031</t>
  </si>
  <si>
    <t>/api/superadmin/onboarding/</t>
  </si>
  <si>
    <t>OnboardingView</t>
  </si>
  <si>
    <t>SA-024, SA-025</t>
  </si>
  <si>
    <t>/api/superadmin/onboarding/&lt;str:schema_name&gt;/</t>
  </si>
  <si>
    <t>/api/superadmin/orders/</t>
  </si>
  <si>
    <t>OrdersMonitorView</t>
  </si>
  <si>
    <t>SA-036, SA-037</t>
  </si>
  <si>
    <t>/api/superadmin/orders/&lt;str:schema_name&gt;/</t>
  </si>
  <si>
    <t>/api/superadmin/overview/</t>
  </si>
  <si>
    <t>OverviewView</t>
  </si>
  <si>
    <t>SA-006, SA-009, SA-011, SA-028</t>
  </si>
  <si>
    <t>/api/superadmin/search/</t>
  </si>
  <si>
    <t>SearchView</t>
  </si>
  <si>
    <t>/api/superadmin/signins/</t>
  </si>
  <si>
    <t>SigninsView</t>
  </si>
  <si>
    <t>/api/superadmin/support/&lt;str:schema_name&gt;/</t>
  </si>
  <si>
    <t>SupportView</t>
  </si>
  <si>
    <t>SA-015, SA-028</t>
  </si>
  <si>
    <t>/api/superadmin/users/</t>
  </si>
  <si>
    <t>UsersView</t>
  </si>
  <si>
    <t>SA-019, SA-043</t>
  </si>
  <si>
    <t>/api/superadmin/users/&lt;str:schema_name&gt;/&lt;str:username&gt;/&lt;str:action&gt;/</t>
  </si>
  <si>
    <t>UserActionView</t>
  </si>
  <si>
    <t>/api/todos/</t>
  </si>
  <si>
    <t>NOTIF-012, TODO-002, TODO-008, TODO-010, TODO-012, TODO-013, TODO-015, TODO-018, WORK-005</t>
  </si>
  <si>
    <t>TodoViewSet</t>
  </si>
  <si>
    <t>/api/todos/(?P&lt;pk&gt;[/.]+)/</t>
  </si>
  <si>
    <t>/api/todos/(?P&lt;pk&gt;[/.]+)/status/</t>
  </si>
  <si>
    <t>post:set_status</t>
  </si>
  <si>
    <t>TODO-011, TODO-019, WORK-005</t>
  </si>
  <si>
    <t>/api/todos/(?P&lt;pk&gt;[/.]+)/updates/</t>
  </si>
  <si>
    <t>post:add_update</t>
  </si>
  <si>
    <t>TODO-014, TODO-019</t>
  </si>
  <si>
    <t>/api/todos/order-work/</t>
  </si>
  <si>
    <t>get:order_work</t>
  </si>
  <si>
    <t>TODO-002, TODO-016, TODO-017</t>
  </si>
  <si>
    <t>/api/todos/people/</t>
  </si>
  <si>
    <t>get:people</t>
  </si>
  <si>
    <t>TODO-002, TODO-009</t>
  </si>
  <si>
    <t>/api/voice-notes/</t>
  </si>
  <si>
    <t>VoiceNoteUploadView</t>
  </si>
  <si>
    <t>ODT-038, STG-014, TODO-008, VOICE-002, WIZ-021, WIZ-022, WIZ-054, WORK-018, WORK-046</t>
  </si>
  <si>
    <t>/api/whatsapp/connect/</t>
  </si>
  <si>
    <t>WhatsAppResetView</t>
  </si>
  <si>
    <t>WhatsApp plumbing; the web app uses status/reset only.</t>
  </si>
  <si>
    <t>/api/whatsapp/reset/</t>
  </si>
  <si>
    <t>/api/whatsapp/send/</t>
  </si>
  <si>
    <t>WhatsAppSendMessageView</t>
  </si>
  <si>
    <t>/api/whatsapp/status/</t>
  </si>
  <si>
    <t>WhatsAppStatusView</t>
  </si>
  <si>
    <t>/api/whatsapp/webhook/</t>
  </si>
  <si>
    <t>WhatsAppWebhookView</t>
  </si>
  <si>
    <t>Called by the WhatsApp service itself (incoming messages), not by a screen.</t>
  </si>
  <si>
    <t>/demo-request/</t>
  </si>
  <si>
    <t>demo_request</t>
  </si>
  <si>
    <t>/intake/customer/</t>
  </si>
  <si>
    <t>CustomerIntakeView</t>
  </si>
  <si>
    <t>LEAD-003, PORT-008</t>
  </si>
  <si>
    <t>/intake/customer/product/</t>
  </si>
  <si>
    <t>RequirementView</t>
  </si>
  <si>
    <t>PORT-009, PORT-010</t>
  </si>
  <si>
    <t>/intake/customer/profile/</t>
  </si>
  <si>
    <t>ProfileView</t>
  </si>
  <si>
    <t>/intake/customer/verify/</t>
  </si>
  <si>
    <t>VerifyView</t>
  </si>
  <si>
    <t>/intake/customer/verify/request/</t>
  </si>
  <si>
    <t>VerifyRequestView</t>
  </si>
  <si>
    <t>/intake/products/</t>
  </si>
  <si>
    <t>ProductsView</t>
  </si>
  <si>
    <t>/intake/products/&lt;slug:key&gt;/measurements/</t>
  </si>
  <si>
    <t>ProductMeasurementsView</t>
  </si>
  <si>
    <t>/intake/products/&lt;slug:key&gt;/parts/</t>
  </si>
  <si>
    <t>ProductPartsView</t>
  </si>
  <si>
    <t>/track/&lt;str:token&gt;/</t>
  </si>
  <si>
    <t>order_tracking</t>
  </si>
  <si>
    <t>APPT-012, ODT-020, TRK-001, TRK-002, TRK-003, TRK-004, TRK-005, TRK-006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</si>
</sst>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1"/>
      <color theme="1"/>
      <name val="Calibri"/>
      <family val="2"/>
      <scheme val="minor"/>
    </font>
    <font>
      <b/>
      <sz val="10"/>
      <color rgb="FFFFFFFF"/>
      <name val="Arial"/>
    </font>
    <font>
      <sz val="10"/>
      <name val="Arial"/>
    </font>
    <font>
      <b/>
      <sz val="16"/>
      <color rgb="FF1F3864"/>
      <name val="Arial"/>
    </font>
    <font>
      <i/>
      <sz val="10"/>
      <color rgb="FF555555"/>
      <name val="Arial"/>
    </font>
    <font>
      <b/>
      <sz val="10"/>
      <name val="Arial"/>
    </font>
    <font>
      <b/>
      <sz val="11"/>
      <color rgb="FF1F3864"/>
      <name val="Arial"/>
    </font>
  </fonts>
  <fills count="6">
    <fill>
      <patternFill patternType="none"/>
    </fill>
    <fill>
      <patternFill patternType="gray125"/>
    </fill>
    <fill>
      <patternFill patternType="solid">
        <fgColor rgb="FF1F3864"/>
      </patternFill>
    </fill>
    <fill>
      <patternFill patternType="solid">
        <fgColor rgb="FFF3F6FA"/>
      </patternFill>
    </fill>
    <fill>
      <patternFill patternType="solid">
        <fgColor rgb="FFFFF9DB"/>
      </patternFill>
    </fill>
    <fill>
      <patternFill patternType="solid">
        <fgColor rgb="FFDCE6F1"/>
      </patternFill>
    </fill>
  </fills>
  <borders count="2">
    <border>
      <left/>
      <right/>
      <top/>
      <bottom/>
      <diagonal/>
    </border>
    <border>
      <left style="thin">
        <color rgb="FFD0D7E2"/>
      </left>
      <right style="thin">
        <color rgb="FFD0D7E2"/>
      </right>
      <top style="thin">
        <color rgb="FFD0D7E2"/>
      </top>
      <bottom style="thin">
        <color rgb="FFD0D7E2"/>
      </bottom>
      <diagonal/>
    </border>
  </borders>
  <cellStyleXfs count="1">
    <xf numFmtId="0" fontId="0" fillId="0" borderId="0"/>
  </cellStyleXfs>
  <cellXfs count="22">
    <xf numFmtId="0" fontId="0" fillId="0" borderId="0" xfId="0"/>
    <xf numFmtId="0" fontId="3" fillId="0" borderId="0" xfId="0" applyFont="1"/>
    <xf numFmtId="0" fontId="6" fillId="0" borderId="0" xfId="0" applyFont="1"/>
    <xf numFmtId="0" fontId="5" fillId="0" borderId="0" xfId="0" applyFont="1"/>
    <xf numFmtId="0" fontId="2" fillId="0" borderId="0" xfId="0" applyFont="1" applyAlignment="1">
      <alignment horizontal="left" vertical="top" wrapText="1"/>
    </xf>
    <xf numFmtId="0" fontId="1"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vertical="top" wrapText="1"/>
    </xf>
    <xf numFmtId="164" fontId="2" fillId="4" borderId="1" xfId="0" applyNumberFormat="1"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4" fillId="0" borderId="0" xfId="0" applyFont="1"/>
    <xf numFmtId="0" fontId="2" fillId="0" borderId="1" xfId="0" applyFont="1" applyBorder="1" applyAlignment="1">
      <alignment horizontal="left" vertical="top"/>
    </xf>
    <xf numFmtId="0" fontId="2" fillId="0" borderId="1" xfId="0" applyFont="1" applyBorder="1" applyAlignment="1">
      <alignment horizontal="center" vertical="top"/>
    </xf>
    <xf numFmtId="9" fontId="2" fillId="0" borderId="1" xfId="0" applyNumberFormat="1" applyFont="1" applyBorder="1" applyAlignment="1">
      <alignment horizontal="center" vertical="top"/>
    </xf>
    <xf numFmtId="0" fontId="5" fillId="5" borderId="1" xfId="0" applyFont="1" applyFill="1" applyBorder="1" applyAlignment="1">
      <alignment horizontal="left" vertical="top"/>
    </xf>
    <xf numFmtId="0" fontId="5" fillId="5" borderId="1" xfId="0" applyFont="1" applyFill="1" applyBorder="1" applyAlignment="1">
      <alignment horizontal="center" vertical="top"/>
    </xf>
    <xf numFmtId="9" fontId="5" fillId="5" borderId="1" xfId="0" applyNumberFormat="1" applyFont="1" applyFill="1" applyBorder="1" applyAlignment="1">
      <alignment horizontal="center" vertical="top"/>
    </xf>
    <xf numFmtId="0" fontId="2" fillId="0" borderId="0" xfId="0" applyFont="1" applyAlignment="1">
      <alignment vertical="top" wrapText="1"/>
    </xf>
    <xf numFmtId="0" fontId="0" fillId="0" borderId="0" xfId="0"/>
  </cellXfs>
  <cellStyles count="1">
    <cellStyle name="Normal" xfId="0" builtinId="0"/>
  </cellStyles>
  <dxfs count="5">
    <dxf>
      <fill>
        <patternFill patternType="solid">
          <fgColor rgb="FFE7E6E6"/>
        </patternFill>
      </fill>
    </dxf>
    <dxf>
      <fill>
        <patternFill patternType="solid">
          <fgColor rgb="FFE7E6E6"/>
        </patternFill>
      </fill>
    </dxf>
    <dxf>
      <fill>
        <patternFill patternType="solid">
          <fgColor rgb="FFFFC7CE"/>
        </patternFill>
      </fill>
    </dxf>
    <dxf>
      <fill>
        <patternFill patternType="solid">
          <fgColor rgb="FFFFEB9C"/>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5"/>
  <sheetViews>
    <sheetView tabSelected="1" workbookViewId="0"/>
  </sheetViews>
  <sheetFormatPr defaultRowHeight="14.4" x14ac:dyDescent="0.3"/>
  <cols>
    <col min="1" max="1" width="30" customWidth="1"/>
    <col min="2" max="2" width="100" customWidth="1"/>
  </cols>
  <sheetData>
    <row r="1" spans="1:2" ht="21" x14ac:dyDescent="0.4">
      <c r="A1" s="1" t="s">
        <v>0</v>
      </c>
    </row>
    <row r="2" spans="1:2" x14ac:dyDescent="0.3">
      <c r="A2" s="20" t="s">
        <v>1</v>
      </c>
      <c r="B2" s="21"/>
    </row>
    <row r="3" spans="1:2" x14ac:dyDescent="0.3">
      <c r="A3" s="20" t="s">
        <v>2</v>
      </c>
      <c r="B3" s="21"/>
    </row>
    <row r="5" spans="1:2" x14ac:dyDescent="0.3">
      <c r="A5" s="2" t="s">
        <v>3</v>
      </c>
    </row>
    <row r="6" spans="1:2" x14ac:dyDescent="0.3">
      <c r="A6" s="3" t="s">
        <v>4</v>
      </c>
      <c r="B6" s="4" t="s">
        <v>5</v>
      </c>
    </row>
    <row r="7" spans="1:2" x14ac:dyDescent="0.3">
      <c r="A7" s="3" t="s">
        <v>6</v>
      </c>
      <c r="B7" s="4" t="s">
        <v>7</v>
      </c>
    </row>
    <row r="8" spans="1:2" x14ac:dyDescent="0.3">
      <c r="A8" s="3" t="s">
        <v>8</v>
      </c>
      <c r="B8" s="4" t="s">
        <v>9</v>
      </c>
    </row>
    <row r="10" spans="1:2" x14ac:dyDescent="0.3">
      <c r="A10" s="2" t="s">
        <v>10</v>
      </c>
    </row>
    <row r="11" spans="1:2" x14ac:dyDescent="0.3">
      <c r="A11" s="3" t="s">
        <v>11</v>
      </c>
      <c r="B11" s="4" t="s">
        <v>12</v>
      </c>
    </row>
    <row r="12" spans="1:2" x14ac:dyDescent="0.3">
      <c r="A12" s="3" t="s">
        <v>13</v>
      </c>
      <c r="B12" s="4" t="s">
        <v>14</v>
      </c>
    </row>
    <row r="13" spans="1:2" x14ac:dyDescent="0.3">
      <c r="A13" s="3" t="s">
        <v>15</v>
      </c>
      <c r="B13" s="4" t="s">
        <v>16</v>
      </c>
    </row>
    <row r="14" spans="1:2" x14ac:dyDescent="0.3">
      <c r="A14" s="3" t="s">
        <v>17</v>
      </c>
      <c r="B14" s="4" t="s">
        <v>18</v>
      </c>
    </row>
    <row r="15" spans="1:2" x14ac:dyDescent="0.3">
      <c r="A15" s="3" t="s">
        <v>19</v>
      </c>
      <c r="B15" s="4" t="s">
        <v>20</v>
      </c>
    </row>
    <row r="17" spans="1:2" x14ac:dyDescent="0.3">
      <c r="A17" s="2" t="s">
        <v>21</v>
      </c>
    </row>
    <row r="18" spans="1:2" x14ac:dyDescent="0.3">
      <c r="A18" s="3" t="s">
        <v>22</v>
      </c>
      <c r="B18" s="4" t="s">
        <v>23</v>
      </c>
    </row>
    <row r="19" spans="1:2" x14ac:dyDescent="0.3">
      <c r="A19" s="3" t="s">
        <v>24</v>
      </c>
      <c r="B19" s="4" t="s">
        <v>25</v>
      </c>
    </row>
    <row r="20" spans="1:2" x14ac:dyDescent="0.3">
      <c r="A20" s="3" t="s">
        <v>26</v>
      </c>
      <c r="B20" s="4" t="s">
        <v>27</v>
      </c>
    </row>
    <row r="21" spans="1:2" x14ac:dyDescent="0.3">
      <c r="A21" s="3" t="s">
        <v>28</v>
      </c>
      <c r="B21" s="4" t="s">
        <v>29</v>
      </c>
    </row>
    <row r="22" spans="1:2" x14ac:dyDescent="0.3">
      <c r="A22" s="3" t="s">
        <v>30</v>
      </c>
      <c r="B22" s="4" t="s">
        <v>31</v>
      </c>
    </row>
    <row r="23" spans="1:2" x14ac:dyDescent="0.3">
      <c r="A23" s="3" t="s">
        <v>32</v>
      </c>
      <c r="B23" s="4" t="s">
        <v>33</v>
      </c>
    </row>
    <row r="24" spans="1:2" x14ac:dyDescent="0.3">
      <c r="A24" s="3" t="s">
        <v>34</v>
      </c>
      <c r="B24" s="4" t="s">
        <v>35</v>
      </c>
    </row>
    <row r="26" spans="1:2" x14ac:dyDescent="0.3">
      <c r="A26" s="2" t="s">
        <v>36</v>
      </c>
    </row>
    <row r="27" spans="1:2" x14ac:dyDescent="0.3">
      <c r="A27" s="3" t="s">
        <v>37</v>
      </c>
      <c r="B27" s="4" t="s">
        <v>38</v>
      </c>
    </row>
    <row r="28" spans="1:2" x14ac:dyDescent="0.3">
      <c r="A28" s="3" t="s">
        <v>39</v>
      </c>
      <c r="B28" s="4" t="s">
        <v>40</v>
      </c>
    </row>
    <row r="29" spans="1:2" x14ac:dyDescent="0.3">
      <c r="A29" s="3" t="s">
        <v>41</v>
      </c>
      <c r="B29" s="4" t="s">
        <v>42</v>
      </c>
    </row>
    <row r="30" spans="1:2" x14ac:dyDescent="0.3">
      <c r="A30" s="3" t="s">
        <v>43</v>
      </c>
      <c r="B30" s="4" t="s">
        <v>44</v>
      </c>
    </row>
    <row r="31" spans="1:2" ht="26.4" x14ac:dyDescent="0.3">
      <c r="A31" s="3" t="s">
        <v>45</v>
      </c>
      <c r="B31" s="4" t="s">
        <v>46</v>
      </c>
    </row>
    <row r="33" spans="1:2" x14ac:dyDescent="0.3">
      <c r="A33" s="2" t="s">
        <v>47</v>
      </c>
    </row>
    <row r="34" spans="1:2" x14ac:dyDescent="0.3">
      <c r="A34" s="3" t="s">
        <v>48</v>
      </c>
      <c r="B34" s="4" t="s">
        <v>49</v>
      </c>
    </row>
    <row r="35" spans="1:2" x14ac:dyDescent="0.3">
      <c r="A35" s="3" t="s">
        <v>50</v>
      </c>
      <c r="B35" s="4" t="s">
        <v>51</v>
      </c>
    </row>
    <row r="36" spans="1:2" x14ac:dyDescent="0.3">
      <c r="A36" s="3" t="s">
        <v>52</v>
      </c>
      <c r="B36" s="4" t="s">
        <v>53</v>
      </c>
    </row>
    <row r="37" spans="1:2" x14ac:dyDescent="0.3">
      <c r="A37" s="3" t="s">
        <v>54</v>
      </c>
      <c r="B37" s="4" t="s">
        <v>55</v>
      </c>
    </row>
    <row r="39" spans="1:2" x14ac:dyDescent="0.3">
      <c r="A39" s="2" t="s">
        <v>56</v>
      </c>
    </row>
    <row r="40" spans="1:2" x14ac:dyDescent="0.3">
      <c r="A40" s="3" t="s">
        <v>57</v>
      </c>
      <c r="B40" s="4">
        <f>COUNTA(Checklist!A2:A757)</f>
        <v>756</v>
      </c>
    </row>
    <row r="41" spans="1:2" x14ac:dyDescent="0.3">
      <c r="A41" s="3" t="s">
        <v>58</v>
      </c>
      <c r="B41" s="4">
        <f>COUNTIF(Checklist!I2:I757,"Yes")</f>
        <v>663</v>
      </c>
    </row>
    <row r="42" spans="1:2" x14ac:dyDescent="0.3">
      <c r="A42" s="3" t="s">
        <v>59</v>
      </c>
      <c r="B42" s="4">
        <f>COUNTIF(Checklist!K2:K757,"Done")</f>
        <v>0</v>
      </c>
    </row>
    <row r="44" spans="1:2" x14ac:dyDescent="0.3">
      <c r="A44" s="2" t="s">
        <v>60</v>
      </c>
    </row>
    <row r="45" spans="1:2" x14ac:dyDescent="0.3">
      <c r="A45" s="20" t="s">
        <v>61</v>
      </c>
      <c r="B45" s="21"/>
    </row>
  </sheetData>
  <mergeCells count="3">
    <mergeCell ref="A3:B3"/>
    <mergeCell ref="A2:B2"/>
    <mergeCell ref="A45:B4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57"/>
  <sheetViews>
    <sheetView workbookViewId="0">
      <pane xSplit="4" ySplit="1" topLeftCell="E2" activePane="bottomRight" state="frozen"/>
      <selection pane="topRight"/>
      <selection pane="bottomLeft"/>
      <selection pane="bottomRight"/>
    </sheetView>
  </sheetViews>
  <sheetFormatPr defaultRowHeight="14.4" x14ac:dyDescent="0.3"/>
  <cols>
    <col min="1" max="1" width="12" customWidth="1"/>
    <col min="2" max="2" width="24" customWidth="1"/>
    <col min="3" max="3" width="26" customWidth="1"/>
    <col min="4" max="4" width="34" customWidth="1"/>
    <col min="5" max="5" width="70" customWidth="1"/>
    <col min="6" max="6" width="26" customWidth="1"/>
    <col min="7" max="7" width="40" customWidth="1"/>
    <col min="8" max="8" width="34" customWidth="1"/>
    <col min="9" max="9" width="18" customWidth="1"/>
    <col min="10" max="10" width="11" customWidth="1"/>
    <col min="11" max="11" width="15" customWidth="1"/>
    <col min="12" max="12" width="16" customWidth="1"/>
    <col min="13" max="13" width="34" customWidth="1"/>
    <col min="14" max="14" width="10" customWidth="1"/>
    <col min="15" max="15" width="14" customWidth="1"/>
  </cols>
  <sheetData>
    <row r="1" spans="1:15" ht="31.95" customHeight="1" x14ac:dyDescent="0.3">
      <c r="A1" s="5" t="s">
        <v>22</v>
      </c>
      <c r="B1" s="5" t="s">
        <v>62</v>
      </c>
      <c r="C1" s="5" t="s">
        <v>63</v>
      </c>
      <c r="D1" s="5" t="s">
        <v>24</v>
      </c>
      <c r="E1" s="5" t="s">
        <v>64</v>
      </c>
      <c r="F1" s="5" t="s">
        <v>65</v>
      </c>
      <c r="G1" s="5" t="s">
        <v>66</v>
      </c>
      <c r="H1" s="5" t="s">
        <v>67</v>
      </c>
      <c r="I1" s="5" t="s">
        <v>68</v>
      </c>
      <c r="J1" s="5" t="s">
        <v>26</v>
      </c>
      <c r="K1" s="5" t="s">
        <v>28</v>
      </c>
      <c r="L1" s="5" t="s">
        <v>30</v>
      </c>
      <c r="M1" s="5" t="s">
        <v>32</v>
      </c>
      <c r="N1" s="5" t="s">
        <v>69</v>
      </c>
      <c r="O1" s="5" t="s">
        <v>70</v>
      </c>
    </row>
    <row r="2" spans="1:15" ht="39.6" x14ac:dyDescent="0.3">
      <c r="A2" s="6" t="s">
        <v>71</v>
      </c>
      <c r="B2" s="7" t="s">
        <v>72</v>
      </c>
      <c r="C2" s="7" t="s">
        <v>73</v>
      </c>
      <c r="D2" s="7" t="s">
        <v>74</v>
      </c>
      <c r="E2" s="7" t="s">
        <v>75</v>
      </c>
      <c r="F2" s="7" t="s">
        <v>76</v>
      </c>
      <c r="G2" s="7" t="s">
        <v>77</v>
      </c>
      <c r="H2" s="7" t="s">
        <v>78</v>
      </c>
      <c r="I2" s="6" t="s">
        <v>37</v>
      </c>
      <c r="J2" s="8"/>
      <c r="K2" s="8" t="s">
        <v>79</v>
      </c>
      <c r="L2" s="9"/>
      <c r="M2" s="9"/>
      <c r="N2" s="8"/>
      <c r="O2" s="10"/>
    </row>
    <row r="3" spans="1:15" ht="52.8" x14ac:dyDescent="0.3">
      <c r="A3" s="11" t="s">
        <v>80</v>
      </c>
      <c r="B3" s="12" t="s">
        <v>72</v>
      </c>
      <c r="C3" s="12" t="s">
        <v>81</v>
      </c>
      <c r="D3" s="12" t="s">
        <v>82</v>
      </c>
      <c r="E3" s="12" t="s">
        <v>83</v>
      </c>
      <c r="F3" s="12" t="s">
        <v>84</v>
      </c>
      <c r="G3" s="12" t="s">
        <v>85</v>
      </c>
      <c r="H3" s="12" t="s">
        <v>86</v>
      </c>
      <c r="I3" s="11" t="s">
        <v>37</v>
      </c>
      <c r="J3" s="8"/>
      <c r="K3" s="8" t="s">
        <v>79</v>
      </c>
      <c r="L3" s="9"/>
      <c r="M3" s="9"/>
      <c r="N3" s="8"/>
      <c r="O3" s="10"/>
    </row>
    <row r="4" spans="1:15" ht="39.6" x14ac:dyDescent="0.3">
      <c r="A4" s="6" t="s">
        <v>87</v>
      </c>
      <c r="B4" s="7" t="s">
        <v>72</v>
      </c>
      <c r="C4" s="7" t="s">
        <v>88</v>
      </c>
      <c r="D4" s="7" t="s">
        <v>89</v>
      </c>
      <c r="E4" s="7" t="s">
        <v>90</v>
      </c>
      <c r="F4" s="7" t="s">
        <v>76</v>
      </c>
      <c r="G4" s="7" t="s">
        <v>91</v>
      </c>
      <c r="H4" s="7" t="s">
        <v>92</v>
      </c>
      <c r="I4" s="6" t="s">
        <v>37</v>
      </c>
      <c r="J4" s="8"/>
      <c r="K4" s="8" t="s">
        <v>79</v>
      </c>
      <c r="L4" s="9"/>
      <c r="M4" s="9"/>
      <c r="N4" s="8"/>
      <c r="O4" s="10"/>
    </row>
    <row r="5" spans="1:15" ht="66" x14ac:dyDescent="0.3">
      <c r="A5" s="11" t="s">
        <v>93</v>
      </c>
      <c r="B5" s="12" t="s">
        <v>72</v>
      </c>
      <c r="C5" s="12" t="s">
        <v>94</v>
      </c>
      <c r="D5" s="12" t="s">
        <v>95</v>
      </c>
      <c r="E5" s="12" t="s">
        <v>96</v>
      </c>
      <c r="F5" s="12" t="s">
        <v>76</v>
      </c>
      <c r="G5" s="12" t="s">
        <v>97</v>
      </c>
      <c r="H5" s="12" t="s">
        <v>98</v>
      </c>
      <c r="I5" s="11" t="s">
        <v>37</v>
      </c>
      <c r="J5" s="8"/>
      <c r="K5" s="8" t="s">
        <v>79</v>
      </c>
      <c r="L5" s="9"/>
      <c r="M5" s="9"/>
      <c r="N5" s="8"/>
      <c r="O5" s="10"/>
    </row>
    <row r="6" spans="1:15" ht="79.2" x14ac:dyDescent="0.3">
      <c r="A6" s="6" t="s">
        <v>99</v>
      </c>
      <c r="B6" s="7" t="s">
        <v>72</v>
      </c>
      <c r="C6" s="7" t="s">
        <v>100</v>
      </c>
      <c r="D6" s="7" t="s">
        <v>101</v>
      </c>
      <c r="E6" s="7" t="s">
        <v>102</v>
      </c>
      <c r="F6" s="7" t="s">
        <v>76</v>
      </c>
      <c r="G6" s="7" t="s">
        <v>103</v>
      </c>
      <c r="H6" s="7" t="s">
        <v>104</v>
      </c>
      <c r="I6" s="6" t="s">
        <v>37</v>
      </c>
      <c r="J6" s="8"/>
      <c r="K6" s="8" t="s">
        <v>79</v>
      </c>
      <c r="L6" s="9"/>
      <c r="M6" s="9"/>
      <c r="N6" s="8"/>
      <c r="O6" s="10"/>
    </row>
    <row r="7" spans="1:15" x14ac:dyDescent="0.3">
      <c r="A7" s="11" t="s">
        <v>105</v>
      </c>
      <c r="B7" s="12" t="s">
        <v>72</v>
      </c>
      <c r="C7" s="12" t="s">
        <v>100</v>
      </c>
      <c r="D7" s="12" t="s">
        <v>106</v>
      </c>
      <c r="E7" s="12" t="s">
        <v>107</v>
      </c>
      <c r="F7" s="12" t="s">
        <v>76</v>
      </c>
      <c r="G7" s="12" t="s">
        <v>77</v>
      </c>
      <c r="H7" s="12" t="s">
        <v>108</v>
      </c>
      <c r="I7" s="11" t="s">
        <v>37</v>
      </c>
      <c r="J7" s="8"/>
      <c r="K7" s="8" t="s">
        <v>79</v>
      </c>
      <c r="L7" s="9"/>
      <c r="M7" s="9"/>
      <c r="N7" s="8"/>
      <c r="O7" s="10"/>
    </row>
    <row r="8" spans="1:15" ht="26.4" x14ac:dyDescent="0.3">
      <c r="A8" s="6" t="s">
        <v>109</v>
      </c>
      <c r="B8" s="7" t="s">
        <v>72</v>
      </c>
      <c r="C8" s="7" t="s">
        <v>100</v>
      </c>
      <c r="D8" s="7" t="s">
        <v>110</v>
      </c>
      <c r="E8" s="7" t="s">
        <v>111</v>
      </c>
      <c r="F8" s="7" t="s">
        <v>48</v>
      </c>
      <c r="G8" s="7" t="s">
        <v>77</v>
      </c>
      <c r="H8" s="7" t="s">
        <v>112</v>
      </c>
      <c r="I8" s="6" t="s">
        <v>37</v>
      </c>
      <c r="J8" s="8"/>
      <c r="K8" s="8" t="s">
        <v>79</v>
      </c>
      <c r="L8" s="9"/>
      <c r="M8" s="9"/>
      <c r="N8" s="8"/>
      <c r="O8" s="10"/>
    </row>
    <row r="9" spans="1:15" ht="26.4" x14ac:dyDescent="0.3">
      <c r="A9" s="11" t="s">
        <v>113</v>
      </c>
      <c r="B9" s="12" t="s">
        <v>72</v>
      </c>
      <c r="C9" s="12" t="s">
        <v>100</v>
      </c>
      <c r="D9" s="12" t="s">
        <v>114</v>
      </c>
      <c r="E9" s="12" t="s">
        <v>115</v>
      </c>
      <c r="F9" s="12" t="s">
        <v>76</v>
      </c>
      <c r="G9" s="12" t="s">
        <v>77</v>
      </c>
      <c r="H9" s="12" t="s">
        <v>116</v>
      </c>
      <c r="I9" s="11" t="s">
        <v>37</v>
      </c>
      <c r="J9" s="8"/>
      <c r="K9" s="8" t="s">
        <v>79</v>
      </c>
      <c r="L9" s="9"/>
      <c r="M9" s="9"/>
      <c r="N9" s="8"/>
      <c r="O9" s="10"/>
    </row>
    <row r="10" spans="1:15" ht="79.2" x14ac:dyDescent="0.3">
      <c r="A10" s="6" t="s">
        <v>117</v>
      </c>
      <c r="B10" s="7" t="s">
        <v>72</v>
      </c>
      <c r="C10" s="7" t="s">
        <v>100</v>
      </c>
      <c r="D10" s="7" t="s">
        <v>118</v>
      </c>
      <c r="E10" s="7" t="s">
        <v>119</v>
      </c>
      <c r="F10" s="7" t="s">
        <v>76</v>
      </c>
      <c r="G10" s="7" t="s">
        <v>120</v>
      </c>
      <c r="H10" s="7" t="s">
        <v>121</v>
      </c>
      <c r="I10" s="6" t="s">
        <v>37</v>
      </c>
      <c r="J10" s="8"/>
      <c r="K10" s="8" t="s">
        <v>79</v>
      </c>
      <c r="L10" s="9"/>
      <c r="M10" s="9"/>
      <c r="N10" s="8"/>
      <c r="O10" s="10"/>
    </row>
    <row r="11" spans="1:15" ht="26.4" x14ac:dyDescent="0.3">
      <c r="A11" s="11" t="s">
        <v>122</v>
      </c>
      <c r="B11" s="12" t="s">
        <v>72</v>
      </c>
      <c r="C11" s="12" t="s">
        <v>100</v>
      </c>
      <c r="D11" s="12" t="s">
        <v>123</v>
      </c>
      <c r="E11" s="12" t="s">
        <v>124</v>
      </c>
      <c r="F11" s="12" t="s">
        <v>76</v>
      </c>
      <c r="G11" s="12" t="s">
        <v>77</v>
      </c>
      <c r="H11" s="12" t="s">
        <v>125</v>
      </c>
      <c r="I11" s="11" t="s">
        <v>37</v>
      </c>
      <c r="J11" s="8"/>
      <c r="K11" s="8" t="s">
        <v>79</v>
      </c>
      <c r="L11" s="9"/>
      <c r="M11" s="9"/>
      <c r="N11" s="8"/>
      <c r="O11" s="10"/>
    </row>
    <row r="12" spans="1:15" ht="39.6" x14ac:dyDescent="0.3">
      <c r="A12" s="6" t="s">
        <v>126</v>
      </c>
      <c r="B12" s="7" t="s">
        <v>72</v>
      </c>
      <c r="C12" s="7" t="s">
        <v>100</v>
      </c>
      <c r="D12" s="7" t="s">
        <v>127</v>
      </c>
      <c r="E12" s="7" t="s">
        <v>128</v>
      </c>
      <c r="F12" s="7" t="s">
        <v>76</v>
      </c>
      <c r="G12" s="7" t="s">
        <v>129</v>
      </c>
      <c r="H12" s="7" t="s">
        <v>130</v>
      </c>
      <c r="I12" s="6" t="s">
        <v>37</v>
      </c>
      <c r="J12" s="8"/>
      <c r="K12" s="8" t="s">
        <v>79</v>
      </c>
      <c r="L12" s="9"/>
      <c r="M12" s="9"/>
      <c r="N12" s="8"/>
      <c r="O12" s="10"/>
    </row>
    <row r="13" spans="1:15" ht="66" x14ac:dyDescent="0.3">
      <c r="A13" s="11" t="s">
        <v>131</v>
      </c>
      <c r="B13" s="12" t="s">
        <v>72</v>
      </c>
      <c r="C13" s="12" t="s">
        <v>132</v>
      </c>
      <c r="D13" s="12" t="s">
        <v>133</v>
      </c>
      <c r="E13" s="12" t="s">
        <v>134</v>
      </c>
      <c r="F13" s="12" t="s">
        <v>76</v>
      </c>
      <c r="G13" s="12" t="s">
        <v>135</v>
      </c>
      <c r="H13" s="12" t="s">
        <v>136</v>
      </c>
      <c r="I13" s="11" t="s">
        <v>37</v>
      </c>
      <c r="J13" s="8"/>
      <c r="K13" s="8" t="s">
        <v>79</v>
      </c>
      <c r="L13" s="9"/>
      <c r="M13" s="9"/>
      <c r="N13" s="8"/>
      <c r="O13" s="10"/>
    </row>
    <row r="14" spans="1:15" ht="66" x14ac:dyDescent="0.3">
      <c r="A14" s="6" t="s">
        <v>137</v>
      </c>
      <c r="B14" s="7" t="s">
        <v>72</v>
      </c>
      <c r="C14" s="7" t="s">
        <v>138</v>
      </c>
      <c r="D14" s="7" t="s">
        <v>139</v>
      </c>
      <c r="E14" s="7" t="s">
        <v>140</v>
      </c>
      <c r="F14" s="7" t="s">
        <v>76</v>
      </c>
      <c r="G14" s="7" t="s">
        <v>141</v>
      </c>
      <c r="H14" s="7" t="s">
        <v>142</v>
      </c>
      <c r="I14" s="6" t="s">
        <v>37</v>
      </c>
      <c r="J14" s="8"/>
      <c r="K14" s="8" t="s">
        <v>79</v>
      </c>
      <c r="L14" s="9"/>
      <c r="M14" s="9"/>
      <c r="N14" s="8"/>
      <c r="O14" s="10"/>
    </row>
    <row r="15" spans="1:15" ht="79.2" x14ac:dyDescent="0.3">
      <c r="A15" s="11" t="s">
        <v>143</v>
      </c>
      <c r="B15" s="12" t="s">
        <v>72</v>
      </c>
      <c r="C15" s="12" t="s">
        <v>144</v>
      </c>
      <c r="D15" s="12" t="s">
        <v>145</v>
      </c>
      <c r="E15" s="12" t="s">
        <v>146</v>
      </c>
      <c r="F15" s="12" t="s">
        <v>84</v>
      </c>
      <c r="G15" s="12" t="s">
        <v>147</v>
      </c>
      <c r="H15" s="12" t="s">
        <v>148</v>
      </c>
      <c r="I15" s="11" t="s">
        <v>37</v>
      </c>
      <c r="J15" s="8"/>
      <c r="K15" s="8" t="s">
        <v>79</v>
      </c>
      <c r="L15" s="9"/>
      <c r="M15" s="9"/>
      <c r="N15" s="8"/>
      <c r="O15" s="10"/>
    </row>
    <row r="16" spans="1:15" ht="66" x14ac:dyDescent="0.3">
      <c r="A16" s="6" t="s">
        <v>149</v>
      </c>
      <c r="B16" s="7" t="s">
        <v>72</v>
      </c>
      <c r="C16" s="7" t="s">
        <v>150</v>
      </c>
      <c r="D16" s="7" t="s">
        <v>151</v>
      </c>
      <c r="E16" s="7" t="s">
        <v>152</v>
      </c>
      <c r="F16" s="7" t="s">
        <v>48</v>
      </c>
      <c r="G16" s="7" t="s">
        <v>153</v>
      </c>
      <c r="H16" s="7" t="s">
        <v>154</v>
      </c>
      <c r="I16" s="6" t="s">
        <v>37</v>
      </c>
      <c r="J16" s="8"/>
      <c r="K16" s="8" t="s">
        <v>79</v>
      </c>
      <c r="L16" s="9"/>
      <c r="M16" s="9"/>
      <c r="N16" s="8"/>
      <c r="O16" s="10"/>
    </row>
    <row r="17" spans="1:15" ht="39.6" x14ac:dyDescent="0.3">
      <c r="A17" s="11" t="s">
        <v>155</v>
      </c>
      <c r="B17" s="12" t="s">
        <v>72</v>
      </c>
      <c r="C17" s="12" t="s">
        <v>150</v>
      </c>
      <c r="D17" s="12" t="s">
        <v>156</v>
      </c>
      <c r="E17" s="12" t="s">
        <v>157</v>
      </c>
      <c r="F17" s="12" t="s">
        <v>48</v>
      </c>
      <c r="G17" s="12" t="s">
        <v>77</v>
      </c>
      <c r="H17" s="12" t="s">
        <v>158</v>
      </c>
      <c r="I17" s="11" t="s">
        <v>37</v>
      </c>
      <c r="J17" s="8"/>
      <c r="K17" s="8" t="s">
        <v>79</v>
      </c>
      <c r="L17" s="9"/>
      <c r="M17" s="9"/>
      <c r="N17" s="8"/>
      <c r="O17" s="10"/>
    </row>
    <row r="18" spans="1:15" ht="26.4" x14ac:dyDescent="0.3">
      <c r="A18" s="6" t="s">
        <v>159</v>
      </c>
      <c r="B18" s="7" t="s">
        <v>72</v>
      </c>
      <c r="C18" s="7" t="s">
        <v>150</v>
      </c>
      <c r="D18" s="7" t="s">
        <v>160</v>
      </c>
      <c r="E18" s="7" t="s">
        <v>161</v>
      </c>
      <c r="F18" s="7" t="s">
        <v>76</v>
      </c>
      <c r="G18" s="7" t="s">
        <v>77</v>
      </c>
      <c r="H18" s="7" t="s">
        <v>162</v>
      </c>
      <c r="I18" s="6" t="s">
        <v>37</v>
      </c>
      <c r="J18" s="8"/>
      <c r="K18" s="8" t="s">
        <v>79</v>
      </c>
      <c r="L18" s="9"/>
      <c r="M18" s="9"/>
      <c r="N18" s="8"/>
      <c r="O18" s="10"/>
    </row>
    <row r="19" spans="1:15" ht="52.8" x14ac:dyDescent="0.3">
      <c r="A19" s="11" t="s">
        <v>163</v>
      </c>
      <c r="B19" s="12" t="s">
        <v>72</v>
      </c>
      <c r="C19" s="12" t="s">
        <v>164</v>
      </c>
      <c r="D19" s="12" t="s">
        <v>165</v>
      </c>
      <c r="E19" s="12" t="s">
        <v>166</v>
      </c>
      <c r="F19" s="12" t="s">
        <v>76</v>
      </c>
      <c r="G19" s="12" t="s">
        <v>167</v>
      </c>
      <c r="H19" s="12" t="s">
        <v>168</v>
      </c>
      <c r="I19" s="11" t="s">
        <v>37</v>
      </c>
      <c r="J19" s="8"/>
      <c r="K19" s="8" t="s">
        <v>79</v>
      </c>
      <c r="L19" s="9"/>
      <c r="M19" s="9"/>
      <c r="N19" s="8"/>
      <c r="O19" s="10"/>
    </row>
    <row r="20" spans="1:15" ht="39.6" x14ac:dyDescent="0.3">
      <c r="A20" s="6" t="s">
        <v>169</v>
      </c>
      <c r="B20" s="7" t="s">
        <v>72</v>
      </c>
      <c r="C20" s="7" t="s">
        <v>164</v>
      </c>
      <c r="D20" s="7" t="s">
        <v>170</v>
      </c>
      <c r="E20" s="7" t="s">
        <v>171</v>
      </c>
      <c r="F20" s="7" t="s">
        <v>76</v>
      </c>
      <c r="G20" s="7" t="s">
        <v>172</v>
      </c>
      <c r="H20" s="7" t="s">
        <v>173</v>
      </c>
      <c r="I20" s="6" t="s">
        <v>37</v>
      </c>
      <c r="J20" s="8"/>
      <c r="K20" s="8" t="s">
        <v>79</v>
      </c>
      <c r="L20" s="9"/>
      <c r="M20" s="9"/>
      <c r="N20" s="8"/>
      <c r="O20" s="10"/>
    </row>
    <row r="21" spans="1:15" ht="26.4" x14ac:dyDescent="0.3">
      <c r="A21" s="11" t="s">
        <v>174</v>
      </c>
      <c r="B21" s="12" t="s">
        <v>72</v>
      </c>
      <c r="C21" s="12" t="s">
        <v>164</v>
      </c>
      <c r="D21" s="12" t="s">
        <v>175</v>
      </c>
      <c r="E21" s="12" t="s">
        <v>176</v>
      </c>
      <c r="F21" s="12" t="s">
        <v>76</v>
      </c>
      <c r="G21" s="12" t="s">
        <v>77</v>
      </c>
      <c r="H21" s="12" t="s">
        <v>177</v>
      </c>
      <c r="I21" s="11" t="s">
        <v>37</v>
      </c>
      <c r="J21" s="8"/>
      <c r="K21" s="8" t="s">
        <v>79</v>
      </c>
      <c r="L21" s="9"/>
      <c r="M21" s="9"/>
      <c r="N21" s="8"/>
      <c r="O21" s="10"/>
    </row>
    <row r="22" spans="1:15" ht="66" x14ac:dyDescent="0.3">
      <c r="A22" s="6" t="s">
        <v>178</v>
      </c>
      <c r="B22" s="7" t="s">
        <v>72</v>
      </c>
      <c r="C22" s="7" t="s">
        <v>164</v>
      </c>
      <c r="D22" s="7" t="s">
        <v>179</v>
      </c>
      <c r="E22" s="7" t="s">
        <v>180</v>
      </c>
      <c r="F22" s="7" t="s">
        <v>76</v>
      </c>
      <c r="G22" s="7" t="s">
        <v>181</v>
      </c>
      <c r="H22" s="7" t="s">
        <v>182</v>
      </c>
      <c r="I22" s="6" t="s">
        <v>37</v>
      </c>
      <c r="J22" s="8"/>
      <c r="K22" s="8" t="s">
        <v>79</v>
      </c>
      <c r="L22" s="9"/>
      <c r="M22" s="9"/>
      <c r="N22" s="8"/>
      <c r="O22" s="10"/>
    </row>
    <row r="23" spans="1:15" ht="52.8" x14ac:dyDescent="0.3">
      <c r="A23" s="11" t="s">
        <v>183</v>
      </c>
      <c r="B23" s="12" t="s">
        <v>72</v>
      </c>
      <c r="C23" s="12" t="s">
        <v>184</v>
      </c>
      <c r="D23" s="12" t="s">
        <v>185</v>
      </c>
      <c r="E23" s="12" t="s">
        <v>186</v>
      </c>
      <c r="F23" s="12" t="s">
        <v>76</v>
      </c>
      <c r="G23" s="12" t="s">
        <v>187</v>
      </c>
      <c r="H23" s="12" t="s">
        <v>188</v>
      </c>
      <c r="I23" s="11" t="s">
        <v>37</v>
      </c>
      <c r="J23" s="8"/>
      <c r="K23" s="8" t="s">
        <v>79</v>
      </c>
      <c r="L23" s="9"/>
      <c r="M23" s="9"/>
      <c r="N23" s="8"/>
      <c r="O23" s="10"/>
    </row>
    <row r="24" spans="1:15" ht="26.4" x14ac:dyDescent="0.3">
      <c r="A24" s="6" t="s">
        <v>189</v>
      </c>
      <c r="B24" s="7" t="s">
        <v>72</v>
      </c>
      <c r="C24" s="7" t="s">
        <v>190</v>
      </c>
      <c r="D24" s="7" t="s">
        <v>191</v>
      </c>
      <c r="E24" s="7" t="s">
        <v>192</v>
      </c>
      <c r="F24" s="7" t="s">
        <v>76</v>
      </c>
      <c r="G24" s="7" t="s">
        <v>77</v>
      </c>
      <c r="H24" s="7" t="s">
        <v>193</v>
      </c>
      <c r="I24" s="6" t="s">
        <v>37</v>
      </c>
      <c r="J24" s="8"/>
      <c r="K24" s="8" t="s">
        <v>79</v>
      </c>
      <c r="L24" s="9"/>
      <c r="M24" s="9"/>
      <c r="N24" s="8"/>
      <c r="O24" s="10"/>
    </row>
    <row r="25" spans="1:15" ht="39.6" x14ac:dyDescent="0.3">
      <c r="A25" s="11" t="s">
        <v>194</v>
      </c>
      <c r="B25" s="12" t="s">
        <v>72</v>
      </c>
      <c r="C25" s="12" t="s">
        <v>190</v>
      </c>
      <c r="D25" s="12" t="s">
        <v>195</v>
      </c>
      <c r="E25" s="12" t="s">
        <v>196</v>
      </c>
      <c r="F25" s="12" t="s">
        <v>76</v>
      </c>
      <c r="G25" s="12" t="s">
        <v>197</v>
      </c>
      <c r="H25" s="12" t="s">
        <v>198</v>
      </c>
      <c r="I25" s="11" t="s">
        <v>37</v>
      </c>
      <c r="J25" s="8"/>
      <c r="K25" s="8" t="s">
        <v>79</v>
      </c>
      <c r="L25" s="9"/>
      <c r="M25" s="9"/>
      <c r="N25" s="8"/>
      <c r="O25" s="10"/>
    </row>
    <row r="26" spans="1:15" ht="52.8" x14ac:dyDescent="0.3">
      <c r="A26" s="6" t="s">
        <v>199</v>
      </c>
      <c r="B26" s="7" t="s">
        <v>72</v>
      </c>
      <c r="C26" s="7" t="s">
        <v>200</v>
      </c>
      <c r="D26" s="7" t="s">
        <v>201</v>
      </c>
      <c r="E26" s="7" t="s">
        <v>202</v>
      </c>
      <c r="F26" s="7" t="s">
        <v>48</v>
      </c>
      <c r="G26" s="7" t="s">
        <v>203</v>
      </c>
      <c r="H26" s="7" t="s">
        <v>204</v>
      </c>
      <c r="I26" s="6" t="s">
        <v>37</v>
      </c>
      <c r="J26" s="8"/>
      <c r="K26" s="8" t="s">
        <v>79</v>
      </c>
      <c r="L26" s="9"/>
      <c r="M26" s="9"/>
      <c r="N26" s="8"/>
      <c r="O26" s="10"/>
    </row>
    <row r="27" spans="1:15" ht="52.8" x14ac:dyDescent="0.3">
      <c r="A27" s="11" t="s">
        <v>205</v>
      </c>
      <c r="B27" s="12" t="s">
        <v>206</v>
      </c>
      <c r="C27" s="12" t="s">
        <v>207</v>
      </c>
      <c r="D27" s="12" t="s">
        <v>208</v>
      </c>
      <c r="E27" s="12" t="s">
        <v>209</v>
      </c>
      <c r="F27" s="12" t="s">
        <v>48</v>
      </c>
      <c r="G27" s="12" t="s">
        <v>77</v>
      </c>
      <c r="H27" s="12" t="s">
        <v>210</v>
      </c>
      <c r="I27" s="11" t="s">
        <v>37</v>
      </c>
      <c r="J27" s="8"/>
      <c r="K27" s="8" t="s">
        <v>79</v>
      </c>
      <c r="L27" s="9"/>
      <c r="M27" s="9"/>
      <c r="N27" s="8"/>
      <c r="O27" s="10"/>
    </row>
    <row r="28" spans="1:15" ht="26.4" x14ac:dyDescent="0.3">
      <c r="A28" s="6" t="s">
        <v>211</v>
      </c>
      <c r="B28" s="7" t="s">
        <v>206</v>
      </c>
      <c r="C28" s="7" t="s">
        <v>207</v>
      </c>
      <c r="D28" s="7" t="s">
        <v>212</v>
      </c>
      <c r="E28" s="7" t="s">
        <v>213</v>
      </c>
      <c r="F28" s="7" t="s">
        <v>214</v>
      </c>
      <c r="G28" s="7" t="s">
        <v>77</v>
      </c>
      <c r="H28" s="7" t="s">
        <v>215</v>
      </c>
      <c r="I28" s="6" t="s">
        <v>37</v>
      </c>
      <c r="J28" s="8"/>
      <c r="K28" s="8" t="s">
        <v>79</v>
      </c>
      <c r="L28" s="9"/>
      <c r="M28" s="9"/>
      <c r="N28" s="8"/>
      <c r="O28" s="10"/>
    </row>
    <row r="29" spans="1:15" ht="26.4" x14ac:dyDescent="0.3">
      <c r="A29" s="11" t="s">
        <v>216</v>
      </c>
      <c r="B29" s="12" t="s">
        <v>206</v>
      </c>
      <c r="C29" s="12" t="s">
        <v>207</v>
      </c>
      <c r="D29" s="12" t="s">
        <v>217</v>
      </c>
      <c r="E29" s="12" t="s">
        <v>218</v>
      </c>
      <c r="F29" s="12" t="s">
        <v>219</v>
      </c>
      <c r="G29" s="12" t="s">
        <v>77</v>
      </c>
      <c r="H29" s="12" t="s">
        <v>220</v>
      </c>
      <c r="I29" s="11" t="s">
        <v>37</v>
      </c>
      <c r="J29" s="8"/>
      <c r="K29" s="8" t="s">
        <v>79</v>
      </c>
      <c r="L29" s="9"/>
      <c r="M29" s="9"/>
      <c r="N29" s="8"/>
      <c r="O29" s="10"/>
    </row>
    <row r="30" spans="1:15" ht="39.6" x14ac:dyDescent="0.3">
      <c r="A30" s="6" t="s">
        <v>221</v>
      </c>
      <c r="B30" s="7" t="s">
        <v>206</v>
      </c>
      <c r="C30" s="7" t="s">
        <v>207</v>
      </c>
      <c r="D30" s="7" t="s">
        <v>222</v>
      </c>
      <c r="E30" s="7" t="s">
        <v>223</v>
      </c>
      <c r="F30" s="7" t="s">
        <v>224</v>
      </c>
      <c r="G30" s="7" t="s">
        <v>77</v>
      </c>
      <c r="H30" s="7" t="s">
        <v>225</v>
      </c>
      <c r="I30" s="6" t="s">
        <v>37</v>
      </c>
      <c r="J30" s="8"/>
      <c r="K30" s="8" t="s">
        <v>79</v>
      </c>
      <c r="L30" s="9"/>
      <c r="M30" s="9"/>
      <c r="N30" s="8"/>
      <c r="O30" s="10"/>
    </row>
    <row r="31" spans="1:15" ht="52.8" x14ac:dyDescent="0.3">
      <c r="A31" s="11" t="s">
        <v>226</v>
      </c>
      <c r="B31" s="12" t="s">
        <v>206</v>
      </c>
      <c r="C31" s="12" t="s">
        <v>207</v>
      </c>
      <c r="D31" s="12" t="s">
        <v>227</v>
      </c>
      <c r="E31" s="12" t="s">
        <v>228</v>
      </c>
      <c r="F31" s="12" t="s">
        <v>54</v>
      </c>
      <c r="G31" s="12" t="s">
        <v>229</v>
      </c>
      <c r="H31" s="12" t="s">
        <v>230</v>
      </c>
      <c r="I31" s="11" t="s">
        <v>37</v>
      </c>
      <c r="J31" s="8"/>
      <c r="K31" s="8" t="s">
        <v>79</v>
      </c>
      <c r="L31" s="9"/>
      <c r="M31" s="9"/>
      <c r="N31" s="8"/>
      <c r="O31" s="10"/>
    </row>
    <row r="32" spans="1:15" ht="79.2" x14ac:dyDescent="0.3">
      <c r="A32" s="6" t="s">
        <v>231</v>
      </c>
      <c r="B32" s="7" t="s">
        <v>206</v>
      </c>
      <c r="C32" s="7" t="s">
        <v>207</v>
      </c>
      <c r="D32" s="7" t="s">
        <v>232</v>
      </c>
      <c r="E32" s="7" t="s">
        <v>233</v>
      </c>
      <c r="F32" s="7" t="s">
        <v>76</v>
      </c>
      <c r="G32" s="7" t="s">
        <v>234</v>
      </c>
      <c r="H32" s="7" t="s">
        <v>235</v>
      </c>
      <c r="I32" s="6" t="s">
        <v>37</v>
      </c>
      <c r="J32" s="8"/>
      <c r="K32" s="8" t="s">
        <v>79</v>
      </c>
      <c r="L32" s="9"/>
      <c r="M32" s="9"/>
      <c r="N32" s="8"/>
      <c r="O32" s="10"/>
    </row>
    <row r="33" spans="1:15" ht="39.6" x14ac:dyDescent="0.3">
      <c r="A33" s="11" t="s">
        <v>236</v>
      </c>
      <c r="B33" s="12" t="s">
        <v>206</v>
      </c>
      <c r="C33" s="12" t="s">
        <v>207</v>
      </c>
      <c r="D33" s="12" t="s">
        <v>237</v>
      </c>
      <c r="E33" s="12" t="s">
        <v>238</v>
      </c>
      <c r="F33" s="12" t="s">
        <v>76</v>
      </c>
      <c r="G33" s="12" t="s">
        <v>77</v>
      </c>
      <c r="H33" s="12" t="s">
        <v>239</v>
      </c>
      <c r="I33" s="11" t="s">
        <v>37</v>
      </c>
      <c r="J33" s="8"/>
      <c r="K33" s="8" t="s">
        <v>79</v>
      </c>
      <c r="L33" s="9"/>
      <c r="M33" s="9"/>
      <c r="N33" s="8"/>
      <c r="O33" s="10"/>
    </row>
    <row r="34" spans="1:15" ht="26.4" x14ac:dyDescent="0.3">
      <c r="A34" s="6" t="s">
        <v>240</v>
      </c>
      <c r="B34" s="7" t="s">
        <v>206</v>
      </c>
      <c r="C34" s="7" t="s">
        <v>207</v>
      </c>
      <c r="D34" s="7" t="s">
        <v>241</v>
      </c>
      <c r="E34" s="7" t="s">
        <v>242</v>
      </c>
      <c r="F34" s="7" t="s">
        <v>76</v>
      </c>
      <c r="G34" s="7" t="s">
        <v>77</v>
      </c>
      <c r="H34" s="7" t="s">
        <v>243</v>
      </c>
      <c r="I34" s="6" t="s">
        <v>37</v>
      </c>
      <c r="J34" s="8"/>
      <c r="K34" s="8" t="s">
        <v>79</v>
      </c>
      <c r="L34" s="9"/>
      <c r="M34" s="9"/>
      <c r="N34" s="8"/>
      <c r="O34" s="10"/>
    </row>
    <row r="35" spans="1:15" ht="52.8" x14ac:dyDescent="0.3">
      <c r="A35" s="11" t="s">
        <v>244</v>
      </c>
      <c r="B35" s="12" t="s">
        <v>206</v>
      </c>
      <c r="C35" s="12" t="s">
        <v>207</v>
      </c>
      <c r="D35" s="12" t="s">
        <v>245</v>
      </c>
      <c r="E35" s="12" t="s">
        <v>246</v>
      </c>
      <c r="F35" s="12" t="s">
        <v>247</v>
      </c>
      <c r="G35" s="12" t="s">
        <v>77</v>
      </c>
      <c r="H35" s="12" t="s">
        <v>248</v>
      </c>
      <c r="I35" s="11" t="s">
        <v>37</v>
      </c>
      <c r="J35" s="8"/>
      <c r="K35" s="8" t="s">
        <v>79</v>
      </c>
      <c r="L35" s="9"/>
      <c r="M35" s="9"/>
      <c r="N35" s="8"/>
      <c r="O35" s="10"/>
    </row>
    <row r="36" spans="1:15" ht="39.6" x14ac:dyDescent="0.3">
      <c r="A36" s="6" t="s">
        <v>249</v>
      </c>
      <c r="B36" s="7" t="s">
        <v>206</v>
      </c>
      <c r="C36" s="7" t="s">
        <v>250</v>
      </c>
      <c r="D36" s="7" t="s">
        <v>251</v>
      </c>
      <c r="E36" s="7" t="s">
        <v>252</v>
      </c>
      <c r="F36" s="7" t="s">
        <v>76</v>
      </c>
      <c r="G36" s="7" t="s">
        <v>77</v>
      </c>
      <c r="H36" s="7" t="s">
        <v>253</v>
      </c>
      <c r="I36" s="6" t="s">
        <v>37</v>
      </c>
      <c r="J36" s="8"/>
      <c r="K36" s="8" t="s">
        <v>79</v>
      </c>
      <c r="L36" s="9"/>
      <c r="M36" s="9"/>
      <c r="N36" s="8"/>
      <c r="O36" s="10"/>
    </row>
    <row r="37" spans="1:15" ht="26.4" x14ac:dyDescent="0.3">
      <c r="A37" s="11" t="s">
        <v>254</v>
      </c>
      <c r="B37" s="12" t="s">
        <v>206</v>
      </c>
      <c r="C37" s="12" t="s">
        <v>250</v>
      </c>
      <c r="D37" s="12" t="s">
        <v>255</v>
      </c>
      <c r="E37" s="12" t="s">
        <v>256</v>
      </c>
      <c r="F37" s="12" t="s">
        <v>76</v>
      </c>
      <c r="G37" s="12" t="s">
        <v>257</v>
      </c>
      <c r="H37" s="12" t="s">
        <v>258</v>
      </c>
      <c r="I37" s="11" t="s">
        <v>37</v>
      </c>
      <c r="J37" s="8"/>
      <c r="K37" s="8" t="s">
        <v>79</v>
      </c>
      <c r="L37" s="9"/>
      <c r="M37" s="9"/>
      <c r="N37" s="8"/>
      <c r="O37" s="10"/>
    </row>
    <row r="38" spans="1:15" x14ac:dyDescent="0.3">
      <c r="A38" s="6" t="s">
        <v>259</v>
      </c>
      <c r="B38" s="7" t="s">
        <v>206</v>
      </c>
      <c r="C38" s="7" t="s">
        <v>260</v>
      </c>
      <c r="D38" s="7" t="s">
        <v>261</v>
      </c>
      <c r="E38" s="7" t="s">
        <v>262</v>
      </c>
      <c r="F38" s="7" t="s">
        <v>76</v>
      </c>
      <c r="G38" s="7" t="s">
        <v>77</v>
      </c>
      <c r="H38" s="7" t="s">
        <v>263</v>
      </c>
      <c r="I38" s="6" t="s">
        <v>37</v>
      </c>
      <c r="J38" s="8"/>
      <c r="K38" s="8" t="s">
        <v>79</v>
      </c>
      <c r="L38" s="9"/>
      <c r="M38" s="9"/>
      <c r="N38" s="8"/>
      <c r="O38" s="10"/>
    </row>
    <row r="39" spans="1:15" ht="52.8" x14ac:dyDescent="0.3">
      <c r="A39" s="11" t="s">
        <v>264</v>
      </c>
      <c r="B39" s="12" t="s">
        <v>206</v>
      </c>
      <c r="C39" s="12" t="s">
        <v>265</v>
      </c>
      <c r="D39" s="12" t="s">
        <v>266</v>
      </c>
      <c r="E39" s="12" t="s">
        <v>267</v>
      </c>
      <c r="F39" s="12" t="s">
        <v>76</v>
      </c>
      <c r="G39" s="12" t="s">
        <v>77</v>
      </c>
      <c r="H39" s="12" t="s">
        <v>268</v>
      </c>
      <c r="I39" s="11" t="s">
        <v>37</v>
      </c>
      <c r="J39" s="8"/>
      <c r="K39" s="8" t="s">
        <v>79</v>
      </c>
      <c r="L39" s="9"/>
      <c r="M39" s="9"/>
      <c r="N39" s="8"/>
      <c r="O39" s="10"/>
    </row>
    <row r="40" spans="1:15" ht="26.4" x14ac:dyDescent="0.3">
      <c r="A40" s="6" t="s">
        <v>269</v>
      </c>
      <c r="B40" s="7" t="s">
        <v>206</v>
      </c>
      <c r="C40" s="7" t="s">
        <v>270</v>
      </c>
      <c r="D40" s="7" t="s">
        <v>270</v>
      </c>
      <c r="E40" s="7" t="s">
        <v>271</v>
      </c>
      <c r="F40" s="7" t="s">
        <v>272</v>
      </c>
      <c r="G40" s="7" t="s">
        <v>273</v>
      </c>
      <c r="H40" s="7" t="s">
        <v>274</v>
      </c>
      <c r="I40" s="6" t="s">
        <v>45</v>
      </c>
      <c r="J40" s="8"/>
      <c r="K40" s="8" t="s">
        <v>275</v>
      </c>
      <c r="L40" s="9"/>
      <c r="M40" s="9"/>
      <c r="N40" s="8"/>
      <c r="O40" s="10"/>
    </row>
    <row r="41" spans="1:15" ht="52.8" x14ac:dyDescent="0.3">
      <c r="A41" s="11" t="s">
        <v>276</v>
      </c>
      <c r="B41" s="12" t="s">
        <v>206</v>
      </c>
      <c r="C41" s="12" t="s">
        <v>277</v>
      </c>
      <c r="D41" s="12" t="s">
        <v>278</v>
      </c>
      <c r="E41" s="12" t="s">
        <v>279</v>
      </c>
      <c r="F41" s="12" t="s">
        <v>280</v>
      </c>
      <c r="G41" s="12" t="s">
        <v>281</v>
      </c>
      <c r="H41" s="12" t="s">
        <v>282</v>
      </c>
      <c r="I41" s="11" t="s">
        <v>37</v>
      </c>
      <c r="J41" s="8"/>
      <c r="K41" s="8" t="s">
        <v>79</v>
      </c>
      <c r="L41" s="9"/>
      <c r="M41" s="9"/>
      <c r="N41" s="8"/>
      <c r="O41" s="10"/>
    </row>
    <row r="42" spans="1:15" ht="52.8" x14ac:dyDescent="0.3">
      <c r="A42" s="6" t="s">
        <v>283</v>
      </c>
      <c r="B42" s="7" t="s">
        <v>206</v>
      </c>
      <c r="C42" s="7" t="s">
        <v>277</v>
      </c>
      <c r="D42" s="7" t="s">
        <v>284</v>
      </c>
      <c r="E42" s="7" t="s">
        <v>285</v>
      </c>
      <c r="F42" s="7" t="s">
        <v>76</v>
      </c>
      <c r="G42" s="7" t="s">
        <v>286</v>
      </c>
      <c r="H42" s="7" t="s">
        <v>287</v>
      </c>
      <c r="I42" s="6" t="s">
        <v>37</v>
      </c>
      <c r="J42" s="8"/>
      <c r="K42" s="8" t="s">
        <v>79</v>
      </c>
      <c r="L42" s="9"/>
      <c r="M42" s="9"/>
      <c r="N42" s="8"/>
      <c r="O42" s="10"/>
    </row>
    <row r="43" spans="1:15" ht="26.4" x14ac:dyDescent="0.3">
      <c r="A43" s="11" t="s">
        <v>288</v>
      </c>
      <c r="B43" s="12" t="s">
        <v>206</v>
      </c>
      <c r="C43" s="12" t="s">
        <v>277</v>
      </c>
      <c r="D43" s="12" t="s">
        <v>289</v>
      </c>
      <c r="E43" s="12" t="s">
        <v>290</v>
      </c>
      <c r="F43" s="12" t="s">
        <v>76</v>
      </c>
      <c r="G43" s="12" t="s">
        <v>77</v>
      </c>
      <c r="H43" s="12" t="s">
        <v>291</v>
      </c>
      <c r="I43" s="11" t="s">
        <v>37</v>
      </c>
      <c r="J43" s="8"/>
      <c r="K43" s="8" t="s">
        <v>79</v>
      </c>
      <c r="L43" s="9"/>
      <c r="M43" s="9"/>
      <c r="N43" s="8"/>
      <c r="O43" s="10"/>
    </row>
    <row r="44" spans="1:15" ht="66" x14ac:dyDescent="0.3">
      <c r="A44" s="6" t="s">
        <v>292</v>
      </c>
      <c r="B44" s="7" t="s">
        <v>206</v>
      </c>
      <c r="C44" s="7" t="s">
        <v>293</v>
      </c>
      <c r="D44" s="7" t="s">
        <v>294</v>
      </c>
      <c r="E44" s="7" t="s">
        <v>295</v>
      </c>
      <c r="F44" s="7" t="s">
        <v>76</v>
      </c>
      <c r="G44" s="7" t="s">
        <v>296</v>
      </c>
      <c r="H44" s="7" t="s">
        <v>297</v>
      </c>
      <c r="I44" s="6" t="s">
        <v>37</v>
      </c>
      <c r="J44" s="8"/>
      <c r="K44" s="8" t="s">
        <v>79</v>
      </c>
      <c r="L44" s="9"/>
      <c r="M44" s="9"/>
      <c r="N44" s="8"/>
      <c r="O44" s="10"/>
    </row>
    <row r="45" spans="1:15" ht="52.8" x14ac:dyDescent="0.3">
      <c r="A45" s="11" t="s">
        <v>298</v>
      </c>
      <c r="B45" s="12" t="s">
        <v>206</v>
      </c>
      <c r="C45" s="12" t="s">
        <v>299</v>
      </c>
      <c r="D45" s="12" t="s">
        <v>300</v>
      </c>
      <c r="E45" s="12" t="s">
        <v>301</v>
      </c>
      <c r="F45" s="12" t="s">
        <v>76</v>
      </c>
      <c r="G45" s="12" t="s">
        <v>77</v>
      </c>
      <c r="H45" s="12" t="s">
        <v>302</v>
      </c>
      <c r="I45" s="11" t="s">
        <v>37</v>
      </c>
      <c r="J45" s="8"/>
      <c r="K45" s="8" t="s">
        <v>79</v>
      </c>
      <c r="L45" s="9"/>
      <c r="M45" s="9"/>
      <c r="N45" s="8"/>
      <c r="O45" s="10"/>
    </row>
    <row r="46" spans="1:15" ht="92.4" x14ac:dyDescent="0.3">
      <c r="A46" s="6" t="s">
        <v>303</v>
      </c>
      <c r="B46" s="7" t="s">
        <v>206</v>
      </c>
      <c r="C46" s="7" t="s">
        <v>304</v>
      </c>
      <c r="D46" s="7" t="s">
        <v>305</v>
      </c>
      <c r="E46" s="7" t="s">
        <v>306</v>
      </c>
      <c r="F46" s="7" t="s">
        <v>48</v>
      </c>
      <c r="G46" s="7" t="s">
        <v>77</v>
      </c>
      <c r="H46" s="7" t="s">
        <v>307</v>
      </c>
      <c r="I46" s="6" t="s">
        <v>37</v>
      </c>
      <c r="J46" s="8"/>
      <c r="K46" s="8" t="s">
        <v>79</v>
      </c>
      <c r="L46" s="9"/>
      <c r="M46" s="9"/>
      <c r="N46" s="8"/>
      <c r="O46" s="10"/>
    </row>
    <row r="47" spans="1:15" ht="26.4" x14ac:dyDescent="0.3">
      <c r="A47" s="11" t="s">
        <v>308</v>
      </c>
      <c r="B47" s="12" t="s">
        <v>206</v>
      </c>
      <c r="C47" s="12" t="s">
        <v>304</v>
      </c>
      <c r="D47" s="12" t="s">
        <v>309</v>
      </c>
      <c r="E47" s="12" t="s">
        <v>310</v>
      </c>
      <c r="F47" s="12" t="s">
        <v>48</v>
      </c>
      <c r="G47" s="12" t="s">
        <v>77</v>
      </c>
      <c r="H47" s="12" t="s">
        <v>311</v>
      </c>
      <c r="I47" s="11" t="s">
        <v>37</v>
      </c>
      <c r="J47" s="8"/>
      <c r="K47" s="8" t="s">
        <v>79</v>
      </c>
      <c r="L47" s="9"/>
      <c r="M47" s="9"/>
      <c r="N47" s="8"/>
      <c r="O47" s="10"/>
    </row>
    <row r="48" spans="1:15" ht="105.6" x14ac:dyDescent="0.3">
      <c r="A48" s="6" t="s">
        <v>312</v>
      </c>
      <c r="B48" s="7" t="s">
        <v>206</v>
      </c>
      <c r="C48" s="7" t="s">
        <v>313</v>
      </c>
      <c r="D48" s="7" t="s">
        <v>314</v>
      </c>
      <c r="E48" s="7" t="s">
        <v>315</v>
      </c>
      <c r="F48" s="7" t="s">
        <v>76</v>
      </c>
      <c r="G48" s="7" t="s">
        <v>316</v>
      </c>
      <c r="H48" s="7" t="s">
        <v>317</v>
      </c>
      <c r="I48" s="6" t="s">
        <v>37</v>
      </c>
      <c r="J48" s="8"/>
      <c r="K48" s="8" t="s">
        <v>79</v>
      </c>
      <c r="L48" s="9"/>
      <c r="M48" s="9"/>
      <c r="N48" s="8"/>
      <c r="O48" s="10"/>
    </row>
    <row r="49" spans="1:15" x14ac:dyDescent="0.3">
      <c r="A49" s="11" t="s">
        <v>318</v>
      </c>
      <c r="B49" s="12" t="s">
        <v>206</v>
      </c>
      <c r="C49" s="12" t="s">
        <v>319</v>
      </c>
      <c r="D49" s="12" t="s">
        <v>320</v>
      </c>
      <c r="E49" s="12" t="s">
        <v>321</v>
      </c>
      <c r="F49" s="12" t="s">
        <v>76</v>
      </c>
      <c r="G49" s="12" t="s">
        <v>77</v>
      </c>
      <c r="H49" s="12" t="s">
        <v>322</v>
      </c>
      <c r="I49" s="11" t="s">
        <v>37</v>
      </c>
      <c r="J49" s="8"/>
      <c r="K49" s="8" t="s">
        <v>79</v>
      </c>
      <c r="L49" s="9"/>
      <c r="M49" s="9"/>
      <c r="N49" s="8"/>
      <c r="O49" s="10"/>
    </row>
    <row r="50" spans="1:15" ht="26.4" x14ac:dyDescent="0.3">
      <c r="A50" s="6" t="s">
        <v>323</v>
      </c>
      <c r="B50" s="7" t="s">
        <v>206</v>
      </c>
      <c r="C50" s="7" t="s">
        <v>324</v>
      </c>
      <c r="D50" s="7" t="s">
        <v>325</v>
      </c>
      <c r="E50" s="7" t="s">
        <v>326</v>
      </c>
      <c r="F50" s="7" t="s">
        <v>76</v>
      </c>
      <c r="G50" s="7" t="s">
        <v>77</v>
      </c>
      <c r="H50" s="7" t="s">
        <v>327</v>
      </c>
      <c r="I50" s="6" t="s">
        <v>37</v>
      </c>
      <c r="J50" s="8"/>
      <c r="K50" s="8" t="s">
        <v>79</v>
      </c>
      <c r="L50" s="9"/>
      <c r="M50" s="9"/>
      <c r="N50" s="8"/>
      <c r="O50" s="10"/>
    </row>
    <row r="51" spans="1:15" ht="26.4" x14ac:dyDescent="0.3">
      <c r="A51" s="11" t="s">
        <v>328</v>
      </c>
      <c r="B51" s="12" t="s">
        <v>206</v>
      </c>
      <c r="C51" s="12" t="s">
        <v>329</v>
      </c>
      <c r="D51" s="12" t="s">
        <v>330</v>
      </c>
      <c r="E51" s="12" t="s">
        <v>331</v>
      </c>
      <c r="F51" s="12" t="s">
        <v>76</v>
      </c>
      <c r="G51" s="12" t="s">
        <v>77</v>
      </c>
      <c r="H51" s="12" t="s">
        <v>332</v>
      </c>
      <c r="I51" s="11" t="s">
        <v>37</v>
      </c>
      <c r="J51" s="8"/>
      <c r="K51" s="8" t="s">
        <v>79</v>
      </c>
      <c r="L51" s="9"/>
      <c r="M51" s="9"/>
      <c r="N51" s="8"/>
      <c r="O51" s="10"/>
    </row>
    <row r="52" spans="1:15" ht="39.6" x14ac:dyDescent="0.3">
      <c r="A52" s="6" t="s">
        <v>333</v>
      </c>
      <c r="B52" s="7" t="s">
        <v>206</v>
      </c>
      <c r="C52" s="7" t="s">
        <v>334</v>
      </c>
      <c r="D52" s="7" t="s">
        <v>335</v>
      </c>
      <c r="E52" s="7" t="s">
        <v>336</v>
      </c>
      <c r="F52" s="7" t="s">
        <v>76</v>
      </c>
      <c r="G52" s="7" t="s">
        <v>77</v>
      </c>
      <c r="H52" s="7" t="s">
        <v>337</v>
      </c>
      <c r="I52" s="6" t="s">
        <v>37</v>
      </c>
      <c r="J52" s="8"/>
      <c r="K52" s="8" t="s">
        <v>79</v>
      </c>
      <c r="L52" s="9"/>
      <c r="M52" s="9"/>
      <c r="N52" s="8"/>
      <c r="O52" s="10"/>
    </row>
    <row r="53" spans="1:15" ht="39.6" x14ac:dyDescent="0.3">
      <c r="A53" s="11" t="s">
        <v>338</v>
      </c>
      <c r="B53" s="12" t="s">
        <v>339</v>
      </c>
      <c r="C53" s="12" t="s">
        <v>340</v>
      </c>
      <c r="D53" s="12" t="s">
        <v>341</v>
      </c>
      <c r="E53" s="12" t="s">
        <v>342</v>
      </c>
      <c r="F53" s="12" t="s">
        <v>48</v>
      </c>
      <c r="G53" s="12" t="s">
        <v>77</v>
      </c>
      <c r="H53" s="12" t="s">
        <v>343</v>
      </c>
      <c r="I53" s="11" t="s">
        <v>37</v>
      </c>
      <c r="J53" s="8"/>
      <c r="K53" s="8" t="s">
        <v>79</v>
      </c>
      <c r="L53" s="9"/>
      <c r="M53" s="9"/>
      <c r="N53" s="8"/>
      <c r="O53" s="10"/>
    </row>
    <row r="54" spans="1:15" ht="26.4" x14ac:dyDescent="0.3">
      <c r="A54" s="6" t="s">
        <v>344</v>
      </c>
      <c r="B54" s="7" t="s">
        <v>339</v>
      </c>
      <c r="C54" s="7" t="s">
        <v>340</v>
      </c>
      <c r="D54" s="7" t="s">
        <v>345</v>
      </c>
      <c r="E54" s="7" t="s">
        <v>346</v>
      </c>
      <c r="F54" s="7" t="s">
        <v>48</v>
      </c>
      <c r="G54" s="7" t="s">
        <v>347</v>
      </c>
      <c r="H54" s="7" t="s">
        <v>348</v>
      </c>
      <c r="I54" s="6" t="s">
        <v>37</v>
      </c>
      <c r="J54" s="8"/>
      <c r="K54" s="8" t="s">
        <v>79</v>
      </c>
      <c r="L54" s="9"/>
      <c r="M54" s="9"/>
      <c r="N54" s="8"/>
      <c r="O54" s="10"/>
    </row>
    <row r="55" spans="1:15" x14ac:dyDescent="0.3">
      <c r="A55" s="11" t="s">
        <v>349</v>
      </c>
      <c r="B55" s="12" t="s">
        <v>339</v>
      </c>
      <c r="C55" s="12" t="s">
        <v>340</v>
      </c>
      <c r="D55" s="12" t="s">
        <v>350</v>
      </c>
      <c r="E55" s="12" t="s">
        <v>351</v>
      </c>
      <c r="F55" s="12" t="s">
        <v>48</v>
      </c>
      <c r="G55" s="12" t="s">
        <v>77</v>
      </c>
      <c r="H55" s="12" t="s">
        <v>352</v>
      </c>
      <c r="I55" s="11" t="s">
        <v>37</v>
      </c>
      <c r="J55" s="8"/>
      <c r="K55" s="8" t="s">
        <v>79</v>
      </c>
      <c r="L55" s="9"/>
      <c r="M55" s="9"/>
      <c r="N55" s="8"/>
      <c r="O55" s="10"/>
    </row>
    <row r="56" spans="1:15" ht="39.6" x14ac:dyDescent="0.3">
      <c r="A56" s="6" t="s">
        <v>353</v>
      </c>
      <c r="B56" s="7" t="s">
        <v>339</v>
      </c>
      <c r="C56" s="7" t="s">
        <v>354</v>
      </c>
      <c r="D56" s="7" t="s">
        <v>355</v>
      </c>
      <c r="E56" s="7" t="s">
        <v>356</v>
      </c>
      <c r="F56" s="7" t="s">
        <v>48</v>
      </c>
      <c r="G56" s="7" t="s">
        <v>357</v>
      </c>
      <c r="H56" s="7" t="s">
        <v>358</v>
      </c>
      <c r="I56" s="6" t="s">
        <v>37</v>
      </c>
      <c r="J56" s="8"/>
      <c r="K56" s="8" t="s">
        <v>79</v>
      </c>
      <c r="L56" s="9"/>
      <c r="M56" s="9"/>
      <c r="N56" s="8"/>
      <c r="O56" s="10"/>
    </row>
    <row r="57" spans="1:15" x14ac:dyDescent="0.3">
      <c r="A57" s="11" t="s">
        <v>359</v>
      </c>
      <c r="B57" s="12" t="s">
        <v>339</v>
      </c>
      <c r="C57" s="12" t="s">
        <v>354</v>
      </c>
      <c r="D57" s="12" t="s">
        <v>360</v>
      </c>
      <c r="E57" s="12" t="s">
        <v>361</v>
      </c>
      <c r="F57" s="12" t="s">
        <v>48</v>
      </c>
      <c r="G57" s="12" t="s">
        <v>362</v>
      </c>
      <c r="H57" s="12" t="s">
        <v>363</v>
      </c>
      <c r="I57" s="11" t="s">
        <v>37</v>
      </c>
      <c r="J57" s="8"/>
      <c r="K57" s="8" t="s">
        <v>79</v>
      </c>
      <c r="L57" s="9"/>
      <c r="M57" s="9"/>
      <c r="N57" s="8"/>
      <c r="O57" s="10"/>
    </row>
    <row r="58" spans="1:15" ht="26.4" x14ac:dyDescent="0.3">
      <c r="A58" s="6" t="s">
        <v>364</v>
      </c>
      <c r="B58" s="7" t="s">
        <v>339</v>
      </c>
      <c r="C58" s="7" t="s">
        <v>354</v>
      </c>
      <c r="D58" s="7" t="s">
        <v>365</v>
      </c>
      <c r="E58" s="7" t="s">
        <v>366</v>
      </c>
      <c r="F58" s="7" t="s">
        <v>48</v>
      </c>
      <c r="G58" s="7" t="s">
        <v>367</v>
      </c>
      <c r="H58" s="7" t="s">
        <v>368</v>
      </c>
      <c r="I58" s="6" t="s">
        <v>37</v>
      </c>
      <c r="J58" s="8"/>
      <c r="K58" s="8" t="s">
        <v>79</v>
      </c>
      <c r="L58" s="9"/>
      <c r="M58" s="9"/>
      <c r="N58" s="8"/>
      <c r="O58" s="10"/>
    </row>
    <row r="59" spans="1:15" ht="26.4" x14ac:dyDescent="0.3">
      <c r="A59" s="11" t="s">
        <v>369</v>
      </c>
      <c r="B59" s="12" t="s">
        <v>339</v>
      </c>
      <c r="C59" s="12" t="s">
        <v>354</v>
      </c>
      <c r="D59" s="12" t="s">
        <v>370</v>
      </c>
      <c r="E59" s="12" t="s">
        <v>371</v>
      </c>
      <c r="F59" s="12" t="s">
        <v>48</v>
      </c>
      <c r="G59" s="12" t="s">
        <v>372</v>
      </c>
      <c r="H59" s="12" t="s">
        <v>373</v>
      </c>
      <c r="I59" s="11" t="s">
        <v>37</v>
      </c>
      <c r="J59" s="8"/>
      <c r="K59" s="8" t="s">
        <v>79</v>
      </c>
      <c r="L59" s="9"/>
      <c r="M59" s="9"/>
      <c r="N59" s="8"/>
      <c r="O59" s="10"/>
    </row>
    <row r="60" spans="1:15" ht="52.8" x14ac:dyDescent="0.3">
      <c r="A60" s="6" t="s">
        <v>374</v>
      </c>
      <c r="B60" s="7" t="s">
        <v>339</v>
      </c>
      <c r="C60" s="7" t="s">
        <v>375</v>
      </c>
      <c r="D60" s="7" t="s">
        <v>376</v>
      </c>
      <c r="E60" s="7" t="s">
        <v>377</v>
      </c>
      <c r="F60" s="7" t="s">
        <v>48</v>
      </c>
      <c r="G60" s="7" t="s">
        <v>378</v>
      </c>
      <c r="H60" s="7" t="s">
        <v>379</v>
      </c>
      <c r="I60" s="6" t="s">
        <v>37</v>
      </c>
      <c r="J60" s="8"/>
      <c r="K60" s="8" t="s">
        <v>79</v>
      </c>
      <c r="L60" s="9"/>
      <c r="M60" s="9"/>
      <c r="N60" s="8"/>
      <c r="O60" s="10"/>
    </row>
    <row r="61" spans="1:15" ht="52.8" x14ac:dyDescent="0.3">
      <c r="A61" s="11" t="s">
        <v>380</v>
      </c>
      <c r="B61" s="12" t="s">
        <v>339</v>
      </c>
      <c r="C61" s="12" t="s">
        <v>381</v>
      </c>
      <c r="D61" s="12" t="s">
        <v>382</v>
      </c>
      <c r="E61" s="12" t="s">
        <v>383</v>
      </c>
      <c r="F61" s="12" t="s">
        <v>48</v>
      </c>
      <c r="G61" s="12" t="s">
        <v>384</v>
      </c>
      <c r="H61" s="12" t="s">
        <v>385</v>
      </c>
      <c r="I61" s="11" t="s">
        <v>37</v>
      </c>
      <c r="J61" s="8"/>
      <c r="K61" s="8" t="s">
        <v>79</v>
      </c>
      <c r="L61" s="9"/>
      <c r="M61" s="9"/>
      <c r="N61" s="8"/>
      <c r="O61" s="10"/>
    </row>
    <row r="62" spans="1:15" ht="39.6" x14ac:dyDescent="0.3">
      <c r="A62" s="6" t="s">
        <v>386</v>
      </c>
      <c r="B62" s="7" t="s">
        <v>339</v>
      </c>
      <c r="C62" s="7" t="s">
        <v>387</v>
      </c>
      <c r="D62" s="7" t="s">
        <v>388</v>
      </c>
      <c r="E62" s="7" t="s">
        <v>389</v>
      </c>
      <c r="F62" s="7" t="s">
        <v>48</v>
      </c>
      <c r="G62" s="7" t="s">
        <v>390</v>
      </c>
      <c r="H62" s="7" t="s">
        <v>391</v>
      </c>
      <c r="I62" s="6" t="s">
        <v>37</v>
      </c>
      <c r="J62" s="8"/>
      <c r="K62" s="8" t="s">
        <v>79</v>
      </c>
      <c r="L62" s="9"/>
      <c r="M62" s="9"/>
      <c r="N62" s="8"/>
      <c r="O62" s="10"/>
    </row>
    <row r="63" spans="1:15" ht="52.8" x14ac:dyDescent="0.3">
      <c r="A63" s="11" t="s">
        <v>392</v>
      </c>
      <c r="B63" s="12" t="s">
        <v>339</v>
      </c>
      <c r="C63" s="12" t="s">
        <v>393</v>
      </c>
      <c r="D63" s="12" t="s">
        <v>394</v>
      </c>
      <c r="E63" s="12" t="s">
        <v>395</v>
      </c>
      <c r="F63" s="12" t="s">
        <v>48</v>
      </c>
      <c r="G63" s="12" t="s">
        <v>396</v>
      </c>
      <c r="H63" s="12" t="s">
        <v>397</v>
      </c>
      <c r="I63" s="11" t="s">
        <v>37</v>
      </c>
      <c r="J63" s="8"/>
      <c r="K63" s="8" t="s">
        <v>79</v>
      </c>
      <c r="L63" s="9"/>
      <c r="M63" s="9"/>
      <c r="N63" s="8"/>
      <c r="O63" s="10"/>
    </row>
    <row r="64" spans="1:15" ht="79.2" x14ac:dyDescent="0.3">
      <c r="A64" s="6" t="s">
        <v>398</v>
      </c>
      <c r="B64" s="7" t="s">
        <v>339</v>
      </c>
      <c r="C64" s="7" t="s">
        <v>399</v>
      </c>
      <c r="D64" s="7" t="s">
        <v>400</v>
      </c>
      <c r="E64" s="7" t="s">
        <v>401</v>
      </c>
      <c r="F64" s="7" t="s">
        <v>402</v>
      </c>
      <c r="G64" s="7" t="s">
        <v>403</v>
      </c>
      <c r="H64" s="7" t="s">
        <v>404</v>
      </c>
      <c r="I64" s="6" t="s">
        <v>37</v>
      </c>
      <c r="J64" s="8"/>
      <c r="K64" s="8" t="s">
        <v>79</v>
      </c>
      <c r="L64" s="9"/>
      <c r="M64" s="9"/>
      <c r="N64" s="8"/>
      <c r="O64" s="10"/>
    </row>
    <row r="65" spans="1:15" ht="39.6" x14ac:dyDescent="0.3">
      <c r="A65" s="11" t="s">
        <v>405</v>
      </c>
      <c r="B65" s="12" t="s">
        <v>339</v>
      </c>
      <c r="C65" s="12" t="s">
        <v>399</v>
      </c>
      <c r="D65" s="12" t="s">
        <v>406</v>
      </c>
      <c r="E65" s="12" t="s">
        <v>407</v>
      </c>
      <c r="F65" s="12" t="s">
        <v>48</v>
      </c>
      <c r="G65" s="12" t="s">
        <v>408</v>
      </c>
      <c r="H65" s="12" t="s">
        <v>409</v>
      </c>
      <c r="I65" s="11" t="s">
        <v>37</v>
      </c>
      <c r="J65" s="8"/>
      <c r="K65" s="8" t="s">
        <v>79</v>
      </c>
      <c r="L65" s="9"/>
      <c r="M65" s="9"/>
      <c r="N65" s="8"/>
      <c r="O65" s="10"/>
    </row>
    <row r="66" spans="1:15" ht="39.6" x14ac:dyDescent="0.3">
      <c r="A66" s="6" t="s">
        <v>410</v>
      </c>
      <c r="B66" s="7" t="s">
        <v>339</v>
      </c>
      <c r="C66" s="7" t="s">
        <v>399</v>
      </c>
      <c r="D66" s="7" t="s">
        <v>411</v>
      </c>
      <c r="E66" s="7" t="s">
        <v>412</v>
      </c>
      <c r="F66" s="7" t="s">
        <v>48</v>
      </c>
      <c r="G66" s="7" t="s">
        <v>413</v>
      </c>
      <c r="H66" s="7" t="s">
        <v>414</v>
      </c>
      <c r="I66" s="6" t="s">
        <v>37</v>
      </c>
      <c r="J66" s="8"/>
      <c r="K66" s="8" t="s">
        <v>79</v>
      </c>
      <c r="L66" s="9"/>
      <c r="M66" s="9"/>
      <c r="N66" s="8"/>
      <c r="O66" s="10"/>
    </row>
    <row r="67" spans="1:15" ht="26.4" x14ac:dyDescent="0.3">
      <c r="A67" s="11" t="s">
        <v>415</v>
      </c>
      <c r="B67" s="12" t="s">
        <v>339</v>
      </c>
      <c r="C67" s="12" t="s">
        <v>416</v>
      </c>
      <c r="D67" s="12" t="s">
        <v>417</v>
      </c>
      <c r="E67" s="12" t="s">
        <v>418</v>
      </c>
      <c r="F67" s="12" t="s">
        <v>48</v>
      </c>
      <c r="G67" s="12" t="s">
        <v>419</v>
      </c>
      <c r="H67" s="12" t="s">
        <v>420</v>
      </c>
      <c r="I67" s="11" t="s">
        <v>37</v>
      </c>
      <c r="J67" s="8"/>
      <c r="K67" s="8" t="s">
        <v>79</v>
      </c>
      <c r="L67" s="9"/>
      <c r="M67" s="9"/>
      <c r="N67" s="8"/>
      <c r="O67" s="10"/>
    </row>
    <row r="68" spans="1:15" ht="66" x14ac:dyDescent="0.3">
      <c r="A68" s="6" t="s">
        <v>421</v>
      </c>
      <c r="B68" s="7" t="s">
        <v>393</v>
      </c>
      <c r="C68" s="7" t="s">
        <v>422</v>
      </c>
      <c r="D68" s="7" t="s">
        <v>423</v>
      </c>
      <c r="E68" s="7" t="s">
        <v>424</v>
      </c>
      <c r="F68" s="7" t="s">
        <v>48</v>
      </c>
      <c r="G68" s="7" t="s">
        <v>425</v>
      </c>
      <c r="H68" s="7" t="s">
        <v>426</v>
      </c>
      <c r="I68" s="6" t="s">
        <v>37</v>
      </c>
      <c r="J68" s="8"/>
      <c r="K68" s="8" t="s">
        <v>79</v>
      </c>
      <c r="L68" s="9"/>
      <c r="M68" s="9"/>
      <c r="N68" s="8"/>
      <c r="O68" s="10"/>
    </row>
    <row r="69" spans="1:15" ht="26.4" x14ac:dyDescent="0.3">
      <c r="A69" s="11" t="s">
        <v>427</v>
      </c>
      <c r="B69" s="12" t="s">
        <v>393</v>
      </c>
      <c r="C69" s="12" t="s">
        <v>422</v>
      </c>
      <c r="D69" s="12" t="s">
        <v>428</v>
      </c>
      <c r="E69" s="12" t="s">
        <v>429</v>
      </c>
      <c r="F69" s="12" t="s">
        <v>48</v>
      </c>
      <c r="G69" s="12" t="s">
        <v>77</v>
      </c>
      <c r="H69" s="12" t="s">
        <v>430</v>
      </c>
      <c r="I69" s="11" t="s">
        <v>37</v>
      </c>
      <c r="J69" s="8"/>
      <c r="K69" s="8" t="s">
        <v>79</v>
      </c>
      <c r="L69" s="9"/>
      <c r="M69" s="9"/>
      <c r="N69" s="8"/>
      <c r="O69" s="10"/>
    </row>
    <row r="70" spans="1:15" ht="52.8" x14ac:dyDescent="0.3">
      <c r="A70" s="6" t="s">
        <v>431</v>
      </c>
      <c r="B70" s="7" t="s">
        <v>393</v>
      </c>
      <c r="C70" s="7" t="s">
        <v>432</v>
      </c>
      <c r="D70" s="7" t="s">
        <v>433</v>
      </c>
      <c r="E70" s="7" t="s">
        <v>434</v>
      </c>
      <c r="F70" s="7" t="s">
        <v>48</v>
      </c>
      <c r="G70" s="7" t="s">
        <v>435</v>
      </c>
      <c r="H70" s="7" t="s">
        <v>436</v>
      </c>
      <c r="I70" s="6" t="s">
        <v>37</v>
      </c>
      <c r="J70" s="8"/>
      <c r="K70" s="8" t="s">
        <v>79</v>
      </c>
      <c r="L70" s="9"/>
      <c r="M70" s="9"/>
      <c r="N70" s="8"/>
      <c r="O70" s="10"/>
    </row>
    <row r="71" spans="1:15" ht="66" x14ac:dyDescent="0.3">
      <c r="A71" s="11" t="s">
        <v>437</v>
      </c>
      <c r="B71" s="12" t="s">
        <v>393</v>
      </c>
      <c r="C71" s="12" t="s">
        <v>432</v>
      </c>
      <c r="D71" s="12" t="s">
        <v>438</v>
      </c>
      <c r="E71" s="12" t="s">
        <v>439</v>
      </c>
      <c r="F71" s="12" t="s">
        <v>48</v>
      </c>
      <c r="G71" s="12" t="s">
        <v>440</v>
      </c>
      <c r="H71" s="12" t="s">
        <v>441</v>
      </c>
      <c r="I71" s="11" t="s">
        <v>37</v>
      </c>
      <c r="J71" s="8"/>
      <c r="K71" s="8" t="s">
        <v>79</v>
      </c>
      <c r="L71" s="9"/>
      <c r="M71" s="9"/>
      <c r="N71" s="8"/>
      <c r="O71" s="10"/>
    </row>
    <row r="72" spans="1:15" ht="26.4" x14ac:dyDescent="0.3">
      <c r="A72" s="6" t="s">
        <v>442</v>
      </c>
      <c r="B72" s="7" t="s">
        <v>393</v>
      </c>
      <c r="C72" s="7" t="s">
        <v>432</v>
      </c>
      <c r="D72" s="7" t="s">
        <v>443</v>
      </c>
      <c r="E72" s="7" t="s">
        <v>444</v>
      </c>
      <c r="F72" s="7" t="s">
        <v>48</v>
      </c>
      <c r="G72" s="7" t="s">
        <v>445</v>
      </c>
      <c r="H72" s="7" t="s">
        <v>446</v>
      </c>
      <c r="I72" s="6" t="s">
        <v>37</v>
      </c>
      <c r="J72" s="8"/>
      <c r="K72" s="8" t="s">
        <v>79</v>
      </c>
      <c r="L72" s="9"/>
      <c r="M72" s="9"/>
      <c r="N72" s="8"/>
      <c r="O72" s="10"/>
    </row>
    <row r="73" spans="1:15" ht="39.6" x14ac:dyDescent="0.3">
      <c r="A73" s="11" t="s">
        <v>447</v>
      </c>
      <c r="B73" s="12" t="s">
        <v>393</v>
      </c>
      <c r="C73" s="12" t="s">
        <v>448</v>
      </c>
      <c r="D73" s="12" t="s">
        <v>449</v>
      </c>
      <c r="E73" s="12" t="s">
        <v>450</v>
      </c>
      <c r="F73" s="12" t="s">
        <v>48</v>
      </c>
      <c r="G73" s="12" t="s">
        <v>445</v>
      </c>
      <c r="H73" s="12" t="s">
        <v>451</v>
      </c>
      <c r="I73" s="11" t="s">
        <v>37</v>
      </c>
      <c r="J73" s="8"/>
      <c r="K73" s="8" t="s">
        <v>79</v>
      </c>
      <c r="L73" s="9"/>
      <c r="M73" s="9"/>
      <c r="N73" s="8"/>
      <c r="O73" s="10"/>
    </row>
    <row r="74" spans="1:15" ht="26.4" x14ac:dyDescent="0.3">
      <c r="A74" s="6" t="s">
        <v>452</v>
      </c>
      <c r="B74" s="7" t="s">
        <v>393</v>
      </c>
      <c r="C74" s="7" t="s">
        <v>453</v>
      </c>
      <c r="D74" s="7" t="s">
        <v>454</v>
      </c>
      <c r="E74" s="7" t="s">
        <v>455</v>
      </c>
      <c r="F74" s="7" t="s">
        <v>48</v>
      </c>
      <c r="G74" s="7" t="s">
        <v>77</v>
      </c>
      <c r="H74" s="7" t="s">
        <v>456</v>
      </c>
      <c r="I74" s="6" t="s">
        <v>37</v>
      </c>
      <c r="J74" s="8"/>
      <c r="K74" s="8" t="s">
        <v>79</v>
      </c>
      <c r="L74" s="9"/>
      <c r="M74" s="9"/>
      <c r="N74" s="8"/>
      <c r="O74" s="10"/>
    </row>
    <row r="75" spans="1:15" ht="39.6" x14ac:dyDescent="0.3">
      <c r="A75" s="11" t="s">
        <v>457</v>
      </c>
      <c r="B75" s="12" t="s">
        <v>393</v>
      </c>
      <c r="C75" s="12" t="s">
        <v>453</v>
      </c>
      <c r="D75" s="12" t="s">
        <v>458</v>
      </c>
      <c r="E75" s="12" t="s">
        <v>459</v>
      </c>
      <c r="F75" s="12" t="s">
        <v>48</v>
      </c>
      <c r="G75" s="12" t="s">
        <v>460</v>
      </c>
      <c r="H75" s="12" t="s">
        <v>461</v>
      </c>
      <c r="I75" s="11" t="s">
        <v>37</v>
      </c>
      <c r="J75" s="8"/>
      <c r="K75" s="8" t="s">
        <v>79</v>
      </c>
      <c r="L75" s="9"/>
      <c r="M75" s="9"/>
      <c r="N75" s="8"/>
      <c r="O75" s="10"/>
    </row>
    <row r="76" spans="1:15" ht="39.6" x14ac:dyDescent="0.3">
      <c r="A76" s="6" t="s">
        <v>462</v>
      </c>
      <c r="B76" s="7" t="s">
        <v>393</v>
      </c>
      <c r="C76" s="7" t="s">
        <v>453</v>
      </c>
      <c r="D76" s="7" t="s">
        <v>411</v>
      </c>
      <c r="E76" s="7" t="s">
        <v>463</v>
      </c>
      <c r="F76" s="7" t="s">
        <v>48</v>
      </c>
      <c r="G76" s="7" t="s">
        <v>464</v>
      </c>
      <c r="H76" s="7" t="s">
        <v>414</v>
      </c>
      <c r="I76" s="6" t="s">
        <v>37</v>
      </c>
      <c r="J76" s="8"/>
      <c r="K76" s="8" t="s">
        <v>79</v>
      </c>
      <c r="L76" s="9"/>
      <c r="M76" s="9"/>
      <c r="N76" s="8"/>
      <c r="O76" s="10"/>
    </row>
    <row r="77" spans="1:15" ht="79.2" x14ac:dyDescent="0.3">
      <c r="A77" s="11" t="s">
        <v>465</v>
      </c>
      <c r="B77" s="12" t="s">
        <v>393</v>
      </c>
      <c r="C77" s="12" t="s">
        <v>466</v>
      </c>
      <c r="D77" s="12" t="s">
        <v>467</v>
      </c>
      <c r="E77" s="12" t="s">
        <v>468</v>
      </c>
      <c r="F77" s="12" t="s">
        <v>469</v>
      </c>
      <c r="G77" s="12" t="s">
        <v>470</v>
      </c>
      <c r="H77" s="12" t="s">
        <v>471</v>
      </c>
      <c r="I77" s="11" t="s">
        <v>37</v>
      </c>
      <c r="J77" s="8"/>
      <c r="K77" s="8" t="s">
        <v>79</v>
      </c>
      <c r="L77" s="9"/>
      <c r="M77" s="9"/>
      <c r="N77" s="8"/>
      <c r="O77" s="10"/>
    </row>
    <row r="78" spans="1:15" ht="39.6" x14ac:dyDescent="0.3">
      <c r="A78" s="6" t="s">
        <v>472</v>
      </c>
      <c r="B78" s="7" t="s">
        <v>393</v>
      </c>
      <c r="C78" s="7" t="s">
        <v>473</v>
      </c>
      <c r="D78" s="7" t="s">
        <v>474</v>
      </c>
      <c r="E78" s="7" t="s">
        <v>475</v>
      </c>
      <c r="F78" s="7" t="s">
        <v>476</v>
      </c>
      <c r="G78" s="7" t="s">
        <v>477</v>
      </c>
      <c r="H78" s="7" t="s">
        <v>478</v>
      </c>
      <c r="I78" s="6" t="s">
        <v>37</v>
      </c>
      <c r="J78" s="8"/>
      <c r="K78" s="8" t="s">
        <v>79</v>
      </c>
      <c r="L78" s="9"/>
      <c r="M78" s="9"/>
      <c r="N78" s="8"/>
      <c r="O78" s="10"/>
    </row>
    <row r="79" spans="1:15" ht="39.6" x14ac:dyDescent="0.3">
      <c r="A79" s="11" t="s">
        <v>479</v>
      </c>
      <c r="B79" s="12" t="s">
        <v>393</v>
      </c>
      <c r="C79" s="12" t="s">
        <v>480</v>
      </c>
      <c r="D79" s="12" t="s">
        <v>481</v>
      </c>
      <c r="E79" s="12" t="s">
        <v>482</v>
      </c>
      <c r="F79" s="12" t="s">
        <v>483</v>
      </c>
      <c r="G79" s="12" t="s">
        <v>484</v>
      </c>
      <c r="H79" s="12" t="s">
        <v>485</v>
      </c>
      <c r="I79" s="11" t="s">
        <v>37</v>
      </c>
      <c r="J79" s="8"/>
      <c r="K79" s="8" t="s">
        <v>79</v>
      </c>
      <c r="L79" s="9"/>
      <c r="M79" s="9"/>
      <c r="N79" s="8"/>
      <c r="O79" s="10"/>
    </row>
    <row r="80" spans="1:15" ht="39.6" x14ac:dyDescent="0.3">
      <c r="A80" s="6" t="s">
        <v>486</v>
      </c>
      <c r="B80" s="7" t="s">
        <v>487</v>
      </c>
      <c r="C80" s="7" t="s">
        <v>488</v>
      </c>
      <c r="D80" s="7" t="s">
        <v>489</v>
      </c>
      <c r="E80" s="7" t="s">
        <v>490</v>
      </c>
      <c r="F80" s="7" t="s">
        <v>76</v>
      </c>
      <c r="G80" s="7" t="s">
        <v>491</v>
      </c>
      <c r="H80" s="7" t="s">
        <v>492</v>
      </c>
      <c r="I80" s="6" t="s">
        <v>37</v>
      </c>
      <c r="J80" s="8"/>
      <c r="K80" s="8" t="s">
        <v>79</v>
      </c>
      <c r="L80" s="9"/>
      <c r="M80" s="9"/>
      <c r="N80" s="8"/>
      <c r="O80" s="10"/>
    </row>
    <row r="81" spans="1:15" ht="26.4" x14ac:dyDescent="0.3">
      <c r="A81" s="11" t="s">
        <v>493</v>
      </c>
      <c r="B81" s="12" t="s">
        <v>487</v>
      </c>
      <c r="C81" s="12" t="s">
        <v>494</v>
      </c>
      <c r="D81" s="12" t="s">
        <v>495</v>
      </c>
      <c r="E81" s="12" t="s">
        <v>496</v>
      </c>
      <c r="F81" s="12" t="s">
        <v>76</v>
      </c>
      <c r="G81" s="12" t="s">
        <v>77</v>
      </c>
      <c r="H81" s="12" t="s">
        <v>497</v>
      </c>
      <c r="I81" s="11" t="s">
        <v>37</v>
      </c>
      <c r="J81" s="8"/>
      <c r="K81" s="8" t="s">
        <v>79</v>
      </c>
      <c r="L81" s="9"/>
      <c r="M81" s="9"/>
      <c r="N81" s="8"/>
      <c r="O81" s="10"/>
    </row>
    <row r="82" spans="1:15" ht="52.8" x14ac:dyDescent="0.3">
      <c r="A82" s="6" t="s">
        <v>498</v>
      </c>
      <c r="B82" s="7" t="s">
        <v>487</v>
      </c>
      <c r="C82" s="7" t="s">
        <v>494</v>
      </c>
      <c r="D82" s="7" t="s">
        <v>499</v>
      </c>
      <c r="E82" s="7" t="s">
        <v>500</v>
      </c>
      <c r="F82" s="7" t="s">
        <v>76</v>
      </c>
      <c r="G82" s="7" t="s">
        <v>77</v>
      </c>
      <c r="H82" s="7" t="s">
        <v>501</v>
      </c>
      <c r="I82" s="6" t="s">
        <v>37</v>
      </c>
      <c r="J82" s="8"/>
      <c r="K82" s="8" t="s">
        <v>79</v>
      </c>
      <c r="L82" s="9"/>
      <c r="M82" s="9"/>
      <c r="N82" s="8"/>
      <c r="O82" s="10"/>
    </row>
    <row r="83" spans="1:15" ht="26.4" x14ac:dyDescent="0.3">
      <c r="A83" s="11" t="s">
        <v>23</v>
      </c>
      <c r="B83" s="12" t="s">
        <v>487</v>
      </c>
      <c r="C83" s="12" t="s">
        <v>494</v>
      </c>
      <c r="D83" s="12" t="s">
        <v>25</v>
      </c>
      <c r="E83" s="12" t="s">
        <v>502</v>
      </c>
      <c r="F83" s="12" t="s">
        <v>76</v>
      </c>
      <c r="G83" s="12" t="s">
        <v>77</v>
      </c>
      <c r="H83" s="12" t="s">
        <v>503</v>
      </c>
      <c r="I83" s="11" t="s">
        <v>37</v>
      </c>
      <c r="J83" s="8"/>
      <c r="K83" s="8" t="s">
        <v>79</v>
      </c>
      <c r="L83" s="9"/>
      <c r="M83" s="9"/>
      <c r="N83" s="8"/>
      <c r="O83" s="10"/>
    </row>
    <row r="84" spans="1:15" ht="26.4" x14ac:dyDescent="0.3">
      <c r="A84" s="6" t="s">
        <v>504</v>
      </c>
      <c r="B84" s="7" t="s">
        <v>487</v>
      </c>
      <c r="C84" s="7" t="s">
        <v>494</v>
      </c>
      <c r="D84" s="7" t="s">
        <v>505</v>
      </c>
      <c r="E84" s="7" t="s">
        <v>506</v>
      </c>
      <c r="F84" s="7" t="s">
        <v>76</v>
      </c>
      <c r="G84" s="7" t="s">
        <v>77</v>
      </c>
      <c r="H84" s="7" t="s">
        <v>507</v>
      </c>
      <c r="I84" s="6" t="s">
        <v>37</v>
      </c>
      <c r="J84" s="8"/>
      <c r="K84" s="8" t="s">
        <v>79</v>
      </c>
      <c r="L84" s="9"/>
      <c r="M84" s="9"/>
      <c r="N84" s="8"/>
      <c r="O84" s="10"/>
    </row>
    <row r="85" spans="1:15" x14ac:dyDescent="0.3">
      <c r="A85" s="11" t="s">
        <v>508</v>
      </c>
      <c r="B85" s="12" t="s">
        <v>487</v>
      </c>
      <c r="C85" s="12" t="s">
        <v>494</v>
      </c>
      <c r="D85" s="12" t="s">
        <v>509</v>
      </c>
      <c r="E85" s="12" t="s">
        <v>510</v>
      </c>
      <c r="F85" s="12" t="s">
        <v>76</v>
      </c>
      <c r="G85" s="12" t="s">
        <v>77</v>
      </c>
      <c r="H85" s="12" t="s">
        <v>511</v>
      </c>
      <c r="I85" s="11" t="s">
        <v>37</v>
      </c>
      <c r="J85" s="8"/>
      <c r="K85" s="8" t="s">
        <v>79</v>
      </c>
      <c r="L85" s="9"/>
      <c r="M85" s="9"/>
      <c r="N85" s="8"/>
      <c r="O85" s="10"/>
    </row>
    <row r="86" spans="1:15" ht="26.4" x14ac:dyDescent="0.3">
      <c r="A86" s="6" t="s">
        <v>512</v>
      </c>
      <c r="B86" s="7" t="s">
        <v>487</v>
      </c>
      <c r="C86" s="7" t="s">
        <v>494</v>
      </c>
      <c r="D86" s="7" t="s">
        <v>513</v>
      </c>
      <c r="E86" s="7" t="s">
        <v>514</v>
      </c>
      <c r="F86" s="7" t="s">
        <v>76</v>
      </c>
      <c r="G86" s="7" t="s">
        <v>77</v>
      </c>
      <c r="H86" s="7" t="s">
        <v>515</v>
      </c>
      <c r="I86" s="6" t="s">
        <v>37</v>
      </c>
      <c r="J86" s="8"/>
      <c r="K86" s="8" t="s">
        <v>79</v>
      </c>
      <c r="L86" s="9"/>
      <c r="M86" s="9"/>
      <c r="N86" s="8"/>
      <c r="O86" s="10"/>
    </row>
    <row r="87" spans="1:15" ht="39.6" x14ac:dyDescent="0.3">
      <c r="A87" s="11" t="s">
        <v>516</v>
      </c>
      <c r="B87" s="12" t="s">
        <v>487</v>
      </c>
      <c r="C87" s="12" t="s">
        <v>494</v>
      </c>
      <c r="D87" s="12" t="s">
        <v>517</v>
      </c>
      <c r="E87" s="12" t="s">
        <v>518</v>
      </c>
      <c r="F87" s="12" t="s">
        <v>76</v>
      </c>
      <c r="G87" s="12" t="s">
        <v>77</v>
      </c>
      <c r="H87" s="12" t="s">
        <v>519</v>
      </c>
      <c r="I87" s="11" t="s">
        <v>37</v>
      </c>
      <c r="J87" s="8"/>
      <c r="K87" s="8" t="s">
        <v>79</v>
      </c>
      <c r="L87" s="9"/>
      <c r="M87" s="9"/>
      <c r="N87" s="8"/>
      <c r="O87" s="10"/>
    </row>
    <row r="88" spans="1:15" x14ac:dyDescent="0.3">
      <c r="A88" s="6" t="s">
        <v>520</v>
      </c>
      <c r="B88" s="7" t="s">
        <v>487</v>
      </c>
      <c r="C88" s="7" t="s">
        <v>521</v>
      </c>
      <c r="D88" s="7" t="s">
        <v>522</v>
      </c>
      <c r="E88" s="7" t="s">
        <v>523</v>
      </c>
      <c r="F88" s="7" t="s">
        <v>76</v>
      </c>
      <c r="G88" s="7" t="s">
        <v>77</v>
      </c>
      <c r="H88" s="7" t="s">
        <v>524</v>
      </c>
      <c r="I88" s="6" t="s">
        <v>37</v>
      </c>
      <c r="J88" s="8"/>
      <c r="K88" s="8" t="s">
        <v>79</v>
      </c>
      <c r="L88" s="9"/>
      <c r="M88" s="9"/>
      <c r="N88" s="8"/>
      <c r="O88" s="10"/>
    </row>
    <row r="89" spans="1:15" ht="39.6" x14ac:dyDescent="0.3">
      <c r="A89" s="11" t="s">
        <v>525</v>
      </c>
      <c r="B89" s="12" t="s">
        <v>487</v>
      </c>
      <c r="C89" s="12" t="s">
        <v>526</v>
      </c>
      <c r="D89" s="12" t="s">
        <v>527</v>
      </c>
      <c r="E89" s="12" t="s">
        <v>528</v>
      </c>
      <c r="F89" s="12" t="s">
        <v>76</v>
      </c>
      <c r="G89" s="12" t="s">
        <v>77</v>
      </c>
      <c r="H89" s="12" t="s">
        <v>529</v>
      </c>
      <c r="I89" s="11" t="s">
        <v>37</v>
      </c>
      <c r="J89" s="8"/>
      <c r="K89" s="8" t="s">
        <v>79</v>
      </c>
      <c r="L89" s="9"/>
      <c r="M89" s="9"/>
      <c r="N89" s="8"/>
      <c r="O89" s="10"/>
    </row>
    <row r="90" spans="1:15" ht="26.4" x14ac:dyDescent="0.3">
      <c r="A90" s="6" t="s">
        <v>530</v>
      </c>
      <c r="B90" s="7" t="s">
        <v>487</v>
      </c>
      <c r="C90" s="7" t="s">
        <v>531</v>
      </c>
      <c r="D90" s="7" t="s">
        <v>532</v>
      </c>
      <c r="E90" s="7" t="s">
        <v>533</v>
      </c>
      <c r="F90" s="7" t="s">
        <v>76</v>
      </c>
      <c r="G90" s="7" t="s">
        <v>77</v>
      </c>
      <c r="H90" s="7" t="s">
        <v>534</v>
      </c>
      <c r="I90" s="6" t="s">
        <v>37</v>
      </c>
      <c r="J90" s="8"/>
      <c r="K90" s="8" t="s">
        <v>79</v>
      </c>
      <c r="L90" s="9"/>
      <c r="M90" s="9"/>
      <c r="N90" s="8"/>
      <c r="O90" s="10"/>
    </row>
    <row r="91" spans="1:15" ht="39.6" x14ac:dyDescent="0.3">
      <c r="A91" s="11" t="s">
        <v>535</v>
      </c>
      <c r="B91" s="12" t="s">
        <v>487</v>
      </c>
      <c r="C91" s="12" t="s">
        <v>526</v>
      </c>
      <c r="D91" s="12" t="s">
        <v>536</v>
      </c>
      <c r="E91" s="12" t="s">
        <v>537</v>
      </c>
      <c r="F91" s="12" t="s">
        <v>76</v>
      </c>
      <c r="G91" s="12" t="s">
        <v>77</v>
      </c>
      <c r="H91" s="12" t="s">
        <v>538</v>
      </c>
      <c r="I91" s="11" t="s">
        <v>37</v>
      </c>
      <c r="J91" s="8"/>
      <c r="K91" s="8" t="s">
        <v>79</v>
      </c>
      <c r="L91" s="9"/>
      <c r="M91" s="9"/>
      <c r="N91" s="8"/>
      <c r="O91" s="10"/>
    </row>
    <row r="92" spans="1:15" x14ac:dyDescent="0.3">
      <c r="A92" s="6" t="s">
        <v>539</v>
      </c>
      <c r="B92" s="7" t="s">
        <v>487</v>
      </c>
      <c r="C92" s="7" t="s">
        <v>526</v>
      </c>
      <c r="D92" s="7" t="s">
        <v>540</v>
      </c>
      <c r="E92" s="7" t="s">
        <v>541</v>
      </c>
      <c r="F92" s="7" t="s">
        <v>76</v>
      </c>
      <c r="G92" s="7" t="s">
        <v>77</v>
      </c>
      <c r="H92" s="7" t="s">
        <v>542</v>
      </c>
      <c r="I92" s="6" t="s">
        <v>37</v>
      </c>
      <c r="J92" s="8"/>
      <c r="K92" s="8" t="s">
        <v>79</v>
      </c>
      <c r="L92" s="9"/>
      <c r="M92" s="9"/>
      <c r="N92" s="8"/>
      <c r="O92" s="10"/>
    </row>
    <row r="93" spans="1:15" ht="66" x14ac:dyDescent="0.3">
      <c r="A93" s="11" t="s">
        <v>543</v>
      </c>
      <c r="B93" s="12" t="s">
        <v>487</v>
      </c>
      <c r="C93" s="12" t="s">
        <v>526</v>
      </c>
      <c r="D93" s="12" t="s">
        <v>544</v>
      </c>
      <c r="E93" s="12" t="s">
        <v>545</v>
      </c>
      <c r="F93" s="12" t="s">
        <v>76</v>
      </c>
      <c r="G93" s="12" t="s">
        <v>77</v>
      </c>
      <c r="H93" s="12" t="s">
        <v>546</v>
      </c>
      <c r="I93" s="11" t="s">
        <v>37</v>
      </c>
      <c r="J93" s="8"/>
      <c r="K93" s="8" t="s">
        <v>79</v>
      </c>
      <c r="L93" s="9"/>
      <c r="M93" s="9"/>
      <c r="N93" s="8"/>
      <c r="O93" s="10"/>
    </row>
    <row r="94" spans="1:15" x14ac:dyDescent="0.3">
      <c r="A94" s="6" t="s">
        <v>547</v>
      </c>
      <c r="B94" s="7" t="s">
        <v>487</v>
      </c>
      <c r="C94" s="7" t="s">
        <v>526</v>
      </c>
      <c r="D94" s="7" t="s">
        <v>548</v>
      </c>
      <c r="E94" s="7" t="s">
        <v>549</v>
      </c>
      <c r="F94" s="7" t="s">
        <v>550</v>
      </c>
      <c r="G94" s="7" t="s">
        <v>551</v>
      </c>
      <c r="H94" s="7" t="s">
        <v>552</v>
      </c>
      <c r="I94" s="6" t="s">
        <v>37</v>
      </c>
      <c r="J94" s="8"/>
      <c r="K94" s="8" t="s">
        <v>79</v>
      </c>
      <c r="L94" s="9"/>
      <c r="M94" s="9"/>
      <c r="N94" s="8"/>
      <c r="O94" s="10"/>
    </row>
    <row r="95" spans="1:15" x14ac:dyDescent="0.3">
      <c r="A95" s="11" t="s">
        <v>553</v>
      </c>
      <c r="B95" s="12" t="s">
        <v>487</v>
      </c>
      <c r="C95" s="12" t="s">
        <v>526</v>
      </c>
      <c r="D95" s="12" t="s">
        <v>554</v>
      </c>
      <c r="E95" s="12" t="s">
        <v>555</v>
      </c>
      <c r="F95" s="12" t="s">
        <v>550</v>
      </c>
      <c r="G95" s="12" t="s">
        <v>556</v>
      </c>
      <c r="H95" s="12" t="s">
        <v>557</v>
      </c>
      <c r="I95" s="11" t="s">
        <v>37</v>
      </c>
      <c r="J95" s="8"/>
      <c r="K95" s="8" t="s">
        <v>79</v>
      </c>
      <c r="L95" s="9"/>
      <c r="M95" s="9"/>
      <c r="N95" s="8"/>
      <c r="O95" s="10"/>
    </row>
    <row r="96" spans="1:15" ht="26.4" x14ac:dyDescent="0.3">
      <c r="A96" s="6" t="s">
        <v>558</v>
      </c>
      <c r="B96" s="7" t="s">
        <v>487</v>
      </c>
      <c r="C96" s="7" t="s">
        <v>526</v>
      </c>
      <c r="D96" s="7" t="s">
        <v>559</v>
      </c>
      <c r="E96" s="7" t="s">
        <v>560</v>
      </c>
      <c r="F96" s="7" t="s">
        <v>76</v>
      </c>
      <c r="G96" s="7" t="s">
        <v>77</v>
      </c>
      <c r="H96" s="7" t="s">
        <v>561</v>
      </c>
      <c r="I96" s="6" t="s">
        <v>37</v>
      </c>
      <c r="J96" s="8"/>
      <c r="K96" s="8" t="s">
        <v>79</v>
      </c>
      <c r="L96" s="9"/>
      <c r="M96" s="9"/>
      <c r="N96" s="8"/>
      <c r="O96" s="10"/>
    </row>
    <row r="97" spans="1:15" ht="26.4" x14ac:dyDescent="0.3">
      <c r="A97" s="11" t="s">
        <v>562</v>
      </c>
      <c r="B97" s="12" t="s">
        <v>487</v>
      </c>
      <c r="C97" s="12" t="s">
        <v>494</v>
      </c>
      <c r="D97" s="12" t="s">
        <v>563</v>
      </c>
      <c r="E97" s="12" t="s">
        <v>564</v>
      </c>
      <c r="F97" s="12" t="s">
        <v>76</v>
      </c>
      <c r="G97" s="12" t="s">
        <v>77</v>
      </c>
      <c r="H97" s="12" t="s">
        <v>565</v>
      </c>
      <c r="I97" s="11" t="s">
        <v>37</v>
      </c>
      <c r="J97" s="8"/>
      <c r="K97" s="8" t="s">
        <v>79</v>
      </c>
      <c r="L97" s="9"/>
      <c r="M97" s="9"/>
      <c r="N97" s="8"/>
      <c r="O97" s="10"/>
    </row>
    <row r="98" spans="1:15" ht="26.4" x14ac:dyDescent="0.3">
      <c r="A98" s="6" t="s">
        <v>566</v>
      </c>
      <c r="B98" s="7" t="s">
        <v>487</v>
      </c>
      <c r="C98" s="7" t="s">
        <v>567</v>
      </c>
      <c r="D98" s="7" t="s">
        <v>568</v>
      </c>
      <c r="E98" s="7" t="s">
        <v>569</v>
      </c>
      <c r="F98" s="7" t="s">
        <v>570</v>
      </c>
      <c r="G98" s="7" t="s">
        <v>77</v>
      </c>
      <c r="H98" s="7" t="s">
        <v>571</v>
      </c>
      <c r="I98" s="6" t="s">
        <v>37</v>
      </c>
      <c r="J98" s="8"/>
      <c r="K98" s="8" t="s">
        <v>79</v>
      </c>
      <c r="L98" s="9"/>
      <c r="M98" s="9"/>
      <c r="N98" s="8"/>
      <c r="O98" s="10"/>
    </row>
    <row r="99" spans="1:15" ht="26.4" x14ac:dyDescent="0.3">
      <c r="A99" s="11" t="s">
        <v>572</v>
      </c>
      <c r="B99" s="12" t="s">
        <v>487</v>
      </c>
      <c r="C99" s="12" t="s">
        <v>567</v>
      </c>
      <c r="D99" s="12" t="s">
        <v>573</v>
      </c>
      <c r="E99" s="12" t="s">
        <v>574</v>
      </c>
      <c r="F99" s="12" t="s">
        <v>575</v>
      </c>
      <c r="G99" s="12" t="s">
        <v>77</v>
      </c>
      <c r="H99" s="12" t="s">
        <v>576</v>
      </c>
      <c r="I99" s="11" t="s">
        <v>37</v>
      </c>
      <c r="J99" s="8"/>
      <c r="K99" s="8" t="s">
        <v>79</v>
      </c>
      <c r="L99" s="9"/>
      <c r="M99" s="9"/>
      <c r="N99" s="8"/>
      <c r="O99" s="10"/>
    </row>
    <row r="100" spans="1:15" ht="39.6" x14ac:dyDescent="0.3">
      <c r="A100" s="6" t="s">
        <v>577</v>
      </c>
      <c r="B100" s="7" t="s">
        <v>487</v>
      </c>
      <c r="C100" s="7" t="s">
        <v>578</v>
      </c>
      <c r="D100" s="7" t="s">
        <v>579</v>
      </c>
      <c r="E100" s="7" t="s">
        <v>580</v>
      </c>
      <c r="F100" s="7" t="s">
        <v>76</v>
      </c>
      <c r="G100" s="7" t="s">
        <v>77</v>
      </c>
      <c r="H100" s="7" t="s">
        <v>581</v>
      </c>
      <c r="I100" s="6" t="s">
        <v>37</v>
      </c>
      <c r="J100" s="8"/>
      <c r="K100" s="8" t="s">
        <v>79</v>
      </c>
      <c r="L100" s="9"/>
      <c r="M100" s="9"/>
      <c r="N100" s="8"/>
      <c r="O100" s="10"/>
    </row>
    <row r="101" spans="1:15" ht="66" x14ac:dyDescent="0.3">
      <c r="A101" s="11" t="s">
        <v>582</v>
      </c>
      <c r="B101" s="12" t="s">
        <v>487</v>
      </c>
      <c r="C101" s="12" t="s">
        <v>583</v>
      </c>
      <c r="D101" s="12" t="s">
        <v>584</v>
      </c>
      <c r="E101" s="12" t="s">
        <v>585</v>
      </c>
      <c r="F101" s="12" t="s">
        <v>76</v>
      </c>
      <c r="G101" s="12" t="s">
        <v>77</v>
      </c>
      <c r="H101" s="12" t="s">
        <v>586</v>
      </c>
      <c r="I101" s="11" t="s">
        <v>37</v>
      </c>
      <c r="J101" s="8"/>
      <c r="K101" s="8" t="s">
        <v>79</v>
      </c>
      <c r="L101" s="9"/>
      <c r="M101" s="9"/>
      <c r="N101" s="8"/>
      <c r="O101" s="10"/>
    </row>
    <row r="102" spans="1:15" ht="52.8" x14ac:dyDescent="0.3">
      <c r="A102" s="6" t="s">
        <v>587</v>
      </c>
      <c r="B102" s="7" t="s">
        <v>487</v>
      </c>
      <c r="C102" s="7" t="s">
        <v>583</v>
      </c>
      <c r="D102" s="7" t="s">
        <v>588</v>
      </c>
      <c r="E102" s="7" t="s">
        <v>589</v>
      </c>
      <c r="F102" s="7" t="s">
        <v>590</v>
      </c>
      <c r="G102" s="7" t="s">
        <v>591</v>
      </c>
      <c r="H102" s="7" t="s">
        <v>592</v>
      </c>
      <c r="I102" s="6" t="s">
        <v>37</v>
      </c>
      <c r="J102" s="8"/>
      <c r="K102" s="8" t="s">
        <v>79</v>
      </c>
      <c r="L102" s="9"/>
      <c r="M102" s="9"/>
      <c r="N102" s="8"/>
      <c r="O102" s="10"/>
    </row>
    <row r="103" spans="1:15" x14ac:dyDescent="0.3">
      <c r="A103" s="11" t="s">
        <v>593</v>
      </c>
      <c r="B103" s="12" t="s">
        <v>594</v>
      </c>
      <c r="C103" s="12" t="s">
        <v>595</v>
      </c>
      <c r="D103" s="12" t="s">
        <v>596</v>
      </c>
      <c r="E103" s="12" t="s">
        <v>597</v>
      </c>
      <c r="F103" s="12" t="s">
        <v>76</v>
      </c>
      <c r="G103" s="12" t="s">
        <v>77</v>
      </c>
      <c r="H103" s="12" t="s">
        <v>598</v>
      </c>
      <c r="I103" s="11" t="s">
        <v>37</v>
      </c>
      <c r="J103" s="8"/>
      <c r="K103" s="8" t="s">
        <v>79</v>
      </c>
      <c r="L103" s="9"/>
      <c r="M103" s="9"/>
      <c r="N103" s="8"/>
      <c r="O103" s="10"/>
    </row>
    <row r="104" spans="1:15" ht="39.6" x14ac:dyDescent="0.3">
      <c r="A104" s="6" t="s">
        <v>599</v>
      </c>
      <c r="B104" s="7" t="s">
        <v>594</v>
      </c>
      <c r="C104" s="7" t="s">
        <v>600</v>
      </c>
      <c r="D104" s="7" t="s">
        <v>601</v>
      </c>
      <c r="E104" s="7" t="s">
        <v>602</v>
      </c>
      <c r="F104" s="7" t="s">
        <v>603</v>
      </c>
      <c r="G104" s="7" t="s">
        <v>604</v>
      </c>
      <c r="H104" s="7" t="s">
        <v>605</v>
      </c>
      <c r="I104" s="6" t="s">
        <v>37</v>
      </c>
      <c r="J104" s="8"/>
      <c r="K104" s="8" t="s">
        <v>79</v>
      </c>
      <c r="L104" s="9"/>
      <c r="M104" s="9"/>
      <c r="N104" s="8"/>
      <c r="O104" s="10"/>
    </row>
    <row r="105" spans="1:15" ht="79.2" x14ac:dyDescent="0.3">
      <c r="A105" s="11" t="s">
        <v>606</v>
      </c>
      <c r="B105" s="12" t="s">
        <v>594</v>
      </c>
      <c r="C105" s="12" t="s">
        <v>607</v>
      </c>
      <c r="D105" s="12" t="s">
        <v>608</v>
      </c>
      <c r="E105" s="12" t="s">
        <v>609</v>
      </c>
      <c r="F105" s="12" t="s">
        <v>610</v>
      </c>
      <c r="G105" s="12" t="s">
        <v>551</v>
      </c>
      <c r="H105" s="12" t="s">
        <v>611</v>
      </c>
      <c r="I105" s="11" t="s">
        <v>37</v>
      </c>
      <c r="J105" s="8"/>
      <c r="K105" s="8" t="s">
        <v>79</v>
      </c>
      <c r="L105" s="9"/>
      <c r="M105" s="9"/>
      <c r="N105" s="8"/>
      <c r="O105" s="10"/>
    </row>
    <row r="106" spans="1:15" ht="52.8" x14ac:dyDescent="0.3">
      <c r="A106" s="6" t="s">
        <v>612</v>
      </c>
      <c r="B106" s="7" t="s">
        <v>594</v>
      </c>
      <c r="C106" s="7" t="s">
        <v>600</v>
      </c>
      <c r="D106" s="7" t="s">
        <v>613</v>
      </c>
      <c r="E106" s="7" t="s">
        <v>614</v>
      </c>
      <c r="F106" s="7" t="s">
        <v>48</v>
      </c>
      <c r="G106" s="7" t="s">
        <v>615</v>
      </c>
      <c r="H106" s="7" t="s">
        <v>616</v>
      </c>
      <c r="I106" s="6" t="s">
        <v>37</v>
      </c>
      <c r="J106" s="8"/>
      <c r="K106" s="8" t="s">
        <v>79</v>
      </c>
      <c r="L106" s="9"/>
      <c r="M106" s="9"/>
      <c r="N106" s="8"/>
      <c r="O106" s="10"/>
    </row>
    <row r="107" spans="1:15" ht="26.4" x14ac:dyDescent="0.3">
      <c r="A107" s="11" t="s">
        <v>617</v>
      </c>
      <c r="B107" s="12" t="s">
        <v>594</v>
      </c>
      <c r="C107" s="12" t="s">
        <v>618</v>
      </c>
      <c r="D107" s="12" t="s">
        <v>619</v>
      </c>
      <c r="E107" s="12" t="s">
        <v>620</v>
      </c>
      <c r="F107" s="12" t="s">
        <v>76</v>
      </c>
      <c r="G107" s="12" t="s">
        <v>77</v>
      </c>
      <c r="H107" s="12" t="s">
        <v>621</v>
      </c>
      <c r="I107" s="11" t="s">
        <v>37</v>
      </c>
      <c r="J107" s="8"/>
      <c r="K107" s="8" t="s">
        <v>79</v>
      </c>
      <c r="L107" s="9"/>
      <c r="M107" s="9"/>
      <c r="N107" s="8"/>
      <c r="O107" s="10"/>
    </row>
    <row r="108" spans="1:15" x14ac:dyDescent="0.3">
      <c r="A108" s="6" t="s">
        <v>622</v>
      </c>
      <c r="B108" s="7" t="s">
        <v>594</v>
      </c>
      <c r="C108" s="7" t="s">
        <v>618</v>
      </c>
      <c r="D108" s="7" t="s">
        <v>623</v>
      </c>
      <c r="E108" s="7" t="s">
        <v>624</v>
      </c>
      <c r="F108" s="7" t="s">
        <v>76</v>
      </c>
      <c r="G108" s="7" t="s">
        <v>77</v>
      </c>
      <c r="H108" s="7" t="s">
        <v>625</v>
      </c>
      <c r="I108" s="6" t="s">
        <v>37</v>
      </c>
      <c r="J108" s="8"/>
      <c r="K108" s="8" t="s">
        <v>79</v>
      </c>
      <c r="L108" s="9"/>
      <c r="M108" s="9"/>
      <c r="N108" s="8"/>
      <c r="O108" s="10"/>
    </row>
    <row r="109" spans="1:15" ht="52.8" x14ac:dyDescent="0.3">
      <c r="A109" s="11" t="s">
        <v>626</v>
      </c>
      <c r="B109" s="12" t="s">
        <v>594</v>
      </c>
      <c r="C109" s="12" t="s">
        <v>618</v>
      </c>
      <c r="D109" s="12" t="s">
        <v>627</v>
      </c>
      <c r="E109" s="12" t="s">
        <v>628</v>
      </c>
      <c r="F109" s="12" t="s">
        <v>629</v>
      </c>
      <c r="G109" s="12" t="s">
        <v>630</v>
      </c>
      <c r="H109" s="12" t="s">
        <v>631</v>
      </c>
      <c r="I109" s="11" t="s">
        <v>37</v>
      </c>
      <c r="J109" s="8"/>
      <c r="K109" s="8" t="s">
        <v>79</v>
      </c>
      <c r="L109" s="9"/>
      <c r="M109" s="9"/>
      <c r="N109" s="8"/>
      <c r="O109" s="10"/>
    </row>
    <row r="110" spans="1:15" ht="26.4" x14ac:dyDescent="0.3">
      <c r="A110" s="6" t="s">
        <v>632</v>
      </c>
      <c r="B110" s="7" t="s">
        <v>594</v>
      </c>
      <c r="C110" s="7" t="s">
        <v>618</v>
      </c>
      <c r="D110" s="7" t="s">
        <v>633</v>
      </c>
      <c r="E110" s="7" t="s">
        <v>634</v>
      </c>
      <c r="F110" s="7" t="s">
        <v>76</v>
      </c>
      <c r="G110" s="7" t="s">
        <v>77</v>
      </c>
      <c r="H110" s="7" t="s">
        <v>635</v>
      </c>
      <c r="I110" s="6" t="s">
        <v>37</v>
      </c>
      <c r="J110" s="8"/>
      <c r="K110" s="8" t="s">
        <v>79</v>
      </c>
      <c r="L110" s="9"/>
      <c r="M110" s="9"/>
      <c r="N110" s="8"/>
      <c r="O110" s="10"/>
    </row>
    <row r="111" spans="1:15" ht="52.8" x14ac:dyDescent="0.3">
      <c r="A111" s="11" t="s">
        <v>636</v>
      </c>
      <c r="B111" s="12" t="s">
        <v>594</v>
      </c>
      <c r="C111" s="12" t="s">
        <v>637</v>
      </c>
      <c r="D111" s="12" t="s">
        <v>638</v>
      </c>
      <c r="E111" s="12" t="s">
        <v>639</v>
      </c>
      <c r="F111" s="12" t="s">
        <v>640</v>
      </c>
      <c r="G111" s="12" t="s">
        <v>641</v>
      </c>
      <c r="H111" s="12" t="s">
        <v>642</v>
      </c>
      <c r="I111" s="11" t="s">
        <v>37</v>
      </c>
      <c r="J111" s="8"/>
      <c r="K111" s="8" t="s">
        <v>79</v>
      </c>
      <c r="L111" s="9"/>
      <c r="M111" s="9"/>
      <c r="N111" s="8"/>
      <c r="O111" s="10"/>
    </row>
    <row r="112" spans="1:15" ht="52.8" x14ac:dyDescent="0.3">
      <c r="A112" s="6" t="s">
        <v>643</v>
      </c>
      <c r="B112" s="7" t="s">
        <v>594</v>
      </c>
      <c r="C112" s="7" t="s">
        <v>637</v>
      </c>
      <c r="D112" s="7" t="s">
        <v>644</v>
      </c>
      <c r="E112" s="7" t="s">
        <v>645</v>
      </c>
      <c r="F112" s="7" t="s">
        <v>646</v>
      </c>
      <c r="G112" s="7" t="s">
        <v>641</v>
      </c>
      <c r="H112" s="7" t="s">
        <v>647</v>
      </c>
      <c r="I112" s="6" t="s">
        <v>37</v>
      </c>
      <c r="J112" s="8"/>
      <c r="K112" s="8" t="s">
        <v>79</v>
      </c>
      <c r="L112" s="9"/>
      <c r="M112" s="9"/>
      <c r="N112" s="8"/>
      <c r="O112" s="10"/>
    </row>
    <row r="113" spans="1:15" x14ac:dyDescent="0.3">
      <c r="A113" s="11" t="s">
        <v>648</v>
      </c>
      <c r="B113" s="12" t="s">
        <v>594</v>
      </c>
      <c r="C113" s="12" t="s">
        <v>637</v>
      </c>
      <c r="D113" s="12" t="s">
        <v>649</v>
      </c>
      <c r="E113" s="12" t="s">
        <v>650</v>
      </c>
      <c r="F113" s="12" t="s">
        <v>651</v>
      </c>
      <c r="G113" s="12" t="s">
        <v>77</v>
      </c>
      <c r="H113" s="12" t="s">
        <v>652</v>
      </c>
      <c r="I113" s="11" t="s">
        <v>37</v>
      </c>
      <c r="J113" s="8"/>
      <c r="K113" s="8" t="s">
        <v>79</v>
      </c>
      <c r="L113" s="9"/>
      <c r="M113" s="9"/>
      <c r="N113" s="8"/>
      <c r="O113" s="10"/>
    </row>
    <row r="114" spans="1:15" ht="39.6" x14ac:dyDescent="0.3">
      <c r="A114" s="6" t="s">
        <v>653</v>
      </c>
      <c r="B114" s="7" t="s">
        <v>594</v>
      </c>
      <c r="C114" s="7" t="s">
        <v>637</v>
      </c>
      <c r="D114" s="7" t="s">
        <v>654</v>
      </c>
      <c r="E114" s="7" t="s">
        <v>655</v>
      </c>
      <c r="F114" s="7" t="s">
        <v>656</v>
      </c>
      <c r="G114" s="7" t="s">
        <v>657</v>
      </c>
      <c r="H114" s="7" t="s">
        <v>658</v>
      </c>
      <c r="I114" s="6" t="s">
        <v>37</v>
      </c>
      <c r="J114" s="8"/>
      <c r="K114" s="8" t="s">
        <v>79</v>
      </c>
      <c r="L114" s="9"/>
      <c r="M114" s="9"/>
      <c r="N114" s="8"/>
      <c r="O114" s="10"/>
    </row>
    <row r="115" spans="1:15" ht="26.4" x14ac:dyDescent="0.3">
      <c r="A115" s="11" t="s">
        <v>659</v>
      </c>
      <c r="B115" s="12" t="s">
        <v>594</v>
      </c>
      <c r="C115" s="12" t="s">
        <v>660</v>
      </c>
      <c r="D115" s="12" t="s">
        <v>661</v>
      </c>
      <c r="E115" s="12" t="s">
        <v>662</v>
      </c>
      <c r="F115" s="12" t="s">
        <v>76</v>
      </c>
      <c r="G115" s="12" t="s">
        <v>77</v>
      </c>
      <c r="H115" s="12" t="s">
        <v>663</v>
      </c>
      <c r="I115" s="11" t="s">
        <v>37</v>
      </c>
      <c r="J115" s="8"/>
      <c r="K115" s="8" t="s">
        <v>79</v>
      </c>
      <c r="L115" s="9"/>
      <c r="M115" s="9"/>
      <c r="N115" s="8"/>
      <c r="O115" s="10"/>
    </row>
    <row r="116" spans="1:15" ht="26.4" x14ac:dyDescent="0.3">
      <c r="A116" s="6" t="s">
        <v>664</v>
      </c>
      <c r="B116" s="7" t="s">
        <v>594</v>
      </c>
      <c r="C116" s="7" t="s">
        <v>665</v>
      </c>
      <c r="D116" s="7" t="s">
        <v>666</v>
      </c>
      <c r="E116" s="7" t="s">
        <v>667</v>
      </c>
      <c r="F116" s="7" t="s">
        <v>76</v>
      </c>
      <c r="G116" s="7" t="s">
        <v>77</v>
      </c>
      <c r="H116" s="7" t="s">
        <v>668</v>
      </c>
      <c r="I116" s="6" t="s">
        <v>37</v>
      </c>
      <c r="J116" s="8"/>
      <c r="K116" s="8" t="s">
        <v>79</v>
      </c>
      <c r="L116" s="9"/>
      <c r="M116" s="9"/>
      <c r="N116" s="8"/>
      <c r="O116" s="10"/>
    </row>
    <row r="117" spans="1:15" ht="66" x14ac:dyDescent="0.3">
      <c r="A117" s="11" t="s">
        <v>669</v>
      </c>
      <c r="B117" s="12" t="s">
        <v>594</v>
      </c>
      <c r="C117" s="12" t="s">
        <v>665</v>
      </c>
      <c r="D117" s="12" t="s">
        <v>670</v>
      </c>
      <c r="E117" s="12" t="s">
        <v>671</v>
      </c>
      <c r="F117" s="12" t="s">
        <v>76</v>
      </c>
      <c r="G117" s="12" t="s">
        <v>77</v>
      </c>
      <c r="H117" s="12" t="s">
        <v>672</v>
      </c>
      <c r="I117" s="11" t="s">
        <v>37</v>
      </c>
      <c r="J117" s="8"/>
      <c r="K117" s="8" t="s">
        <v>79</v>
      </c>
      <c r="L117" s="9"/>
      <c r="M117" s="9"/>
      <c r="N117" s="8"/>
      <c r="O117" s="10"/>
    </row>
    <row r="118" spans="1:15" ht="26.4" x14ac:dyDescent="0.3">
      <c r="A118" s="6" t="s">
        <v>673</v>
      </c>
      <c r="B118" s="7" t="s">
        <v>594</v>
      </c>
      <c r="C118" s="7" t="s">
        <v>665</v>
      </c>
      <c r="D118" s="7" t="s">
        <v>674</v>
      </c>
      <c r="E118" s="7" t="s">
        <v>675</v>
      </c>
      <c r="F118" s="7" t="s">
        <v>76</v>
      </c>
      <c r="G118" s="7" t="s">
        <v>77</v>
      </c>
      <c r="H118" s="7" t="s">
        <v>676</v>
      </c>
      <c r="I118" s="6" t="s">
        <v>37</v>
      </c>
      <c r="J118" s="8"/>
      <c r="K118" s="8" t="s">
        <v>79</v>
      </c>
      <c r="L118" s="9"/>
      <c r="M118" s="9"/>
      <c r="N118" s="8"/>
      <c r="O118" s="10"/>
    </row>
    <row r="119" spans="1:15" ht="52.8" x14ac:dyDescent="0.3">
      <c r="A119" s="11" t="s">
        <v>677</v>
      </c>
      <c r="B119" s="12" t="s">
        <v>594</v>
      </c>
      <c r="C119" s="12" t="s">
        <v>678</v>
      </c>
      <c r="D119" s="12" t="s">
        <v>679</v>
      </c>
      <c r="E119" s="12" t="s">
        <v>680</v>
      </c>
      <c r="F119" s="12" t="s">
        <v>681</v>
      </c>
      <c r="G119" s="12" t="s">
        <v>682</v>
      </c>
      <c r="H119" s="12" t="s">
        <v>683</v>
      </c>
      <c r="I119" s="11" t="s">
        <v>37</v>
      </c>
      <c r="J119" s="8"/>
      <c r="K119" s="8" t="s">
        <v>79</v>
      </c>
      <c r="L119" s="9"/>
      <c r="M119" s="9"/>
      <c r="N119" s="8"/>
      <c r="O119" s="10"/>
    </row>
    <row r="120" spans="1:15" ht="26.4" x14ac:dyDescent="0.3">
      <c r="A120" s="6" t="s">
        <v>684</v>
      </c>
      <c r="B120" s="7" t="s">
        <v>594</v>
      </c>
      <c r="C120" s="7" t="s">
        <v>685</v>
      </c>
      <c r="D120" s="7" t="s">
        <v>686</v>
      </c>
      <c r="E120" s="7" t="s">
        <v>687</v>
      </c>
      <c r="F120" s="7" t="s">
        <v>681</v>
      </c>
      <c r="G120" s="7" t="s">
        <v>688</v>
      </c>
      <c r="H120" s="7" t="s">
        <v>689</v>
      </c>
      <c r="I120" s="6" t="s">
        <v>37</v>
      </c>
      <c r="J120" s="8"/>
      <c r="K120" s="8" t="s">
        <v>79</v>
      </c>
      <c r="L120" s="9"/>
      <c r="M120" s="9"/>
      <c r="N120" s="8"/>
      <c r="O120" s="10"/>
    </row>
    <row r="121" spans="1:15" ht="26.4" x14ac:dyDescent="0.3">
      <c r="A121" s="11" t="s">
        <v>690</v>
      </c>
      <c r="B121" s="12" t="s">
        <v>594</v>
      </c>
      <c r="C121" s="12" t="s">
        <v>685</v>
      </c>
      <c r="D121" s="12" t="s">
        <v>691</v>
      </c>
      <c r="E121" s="12" t="s">
        <v>692</v>
      </c>
      <c r="F121" s="12" t="s">
        <v>681</v>
      </c>
      <c r="G121" s="12" t="s">
        <v>693</v>
      </c>
      <c r="H121" s="12" t="s">
        <v>694</v>
      </c>
      <c r="I121" s="11" t="s">
        <v>37</v>
      </c>
      <c r="J121" s="8"/>
      <c r="K121" s="8" t="s">
        <v>79</v>
      </c>
      <c r="L121" s="9"/>
      <c r="M121" s="9"/>
      <c r="N121" s="8"/>
      <c r="O121" s="10"/>
    </row>
    <row r="122" spans="1:15" ht="52.8" x14ac:dyDescent="0.3">
      <c r="A122" s="6" t="s">
        <v>695</v>
      </c>
      <c r="B122" s="7" t="s">
        <v>594</v>
      </c>
      <c r="C122" s="7" t="s">
        <v>696</v>
      </c>
      <c r="D122" s="7" t="s">
        <v>697</v>
      </c>
      <c r="E122" s="7" t="s">
        <v>698</v>
      </c>
      <c r="F122" s="7" t="s">
        <v>699</v>
      </c>
      <c r="G122" s="7" t="s">
        <v>700</v>
      </c>
      <c r="H122" s="7" t="s">
        <v>701</v>
      </c>
      <c r="I122" s="6" t="s">
        <v>37</v>
      </c>
      <c r="J122" s="8"/>
      <c r="K122" s="8" t="s">
        <v>79</v>
      </c>
      <c r="L122" s="9"/>
      <c r="M122" s="9"/>
      <c r="N122" s="8"/>
      <c r="O122" s="10"/>
    </row>
    <row r="123" spans="1:15" ht="39.6" x14ac:dyDescent="0.3">
      <c r="A123" s="11" t="s">
        <v>702</v>
      </c>
      <c r="B123" s="12" t="s">
        <v>594</v>
      </c>
      <c r="C123" s="12" t="s">
        <v>703</v>
      </c>
      <c r="D123" s="12" t="s">
        <v>704</v>
      </c>
      <c r="E123" s="12" t="s">
        <v>705</v>
      </c>
      <c r="F123" s="12" t="s">
        <v>76</v>
      </c>
      <c r="G123" s="12" t="s">
        <v>706</v>
      </c>
      <c r="H123" s="12" t="s">
        <v>707</v>
      </c>
      <c r="I123" s="11" t="s">
        <v>37</v>
      </c>
      <c r="J123" s="8"/>
      <c r="K123" s="8" t="s">
        <v>79</v>
      </c>
      <c r="L123" s="9"/>
      <c r="M123" s="9"/>
      <c r="N123" s="8"/>
      <c r="O123" s="10"/>
    </row>
    <row r="124" spans="1:15" ht="39.6" x14ac:dyDescent="0.3">
      <c r="A124" s="6" t="s">
        <v>708</v>
      </c>
      <c r="B124" s="7" t="s">
        <v>594</v>
      </c>
      <c r="C124" s="7" t="s">
        <v>703</v>
      </c>
      <c r="D124" s="7" t="s">
        <v>709</v>
      </c>
      <c r="E124" s="7" t="s">
        <v>710</v>
      </c>
      <c r="F124" s="7" t="s">
        <v>656</v>
      </c>
      <c r="G124" s="7" t="s">
        <v>711</v>
      </c>
      <c r="H124" s="7" t="s">
        <v>712</v>
      </c>
      <c r="I124" s="6" t="s">
        <v>37</v>
      </c>
      <c r="J124" s="8"/>
      <c r="K124" s="8" t="s">
        <v>79</v>
      </c>
      <c r="L124" s="9"/>
      <c r="M124" s="9"/>
      <c r="N124" s="8"/>
      <c r="O124" s="10"/>
    </row>
    <row r="125" spans="1:15" ht="39.6" x14ac:dyDescent="0.3">
      <c r="A125" s="11" t="s">
        <v>713</v>
      </c>
      <c r="B125" s="12" t="s">
        <v>594</v>
      </c>
      <c r="C125" s="12" t="s">
        <v>703</v>
      </c>
      <c r="D125" s="12" t="s">
        <v>714</v>
      </c>
      <c r="E125" s="12" t="s">
        <v>715</v>
      </c>
      <c r="F125" s="12" t="s">
        <v>716</v>
      </c>
      <c r="G125" s="12" t="s">
        <v>717</v>
      </c>
      <c r="H125" s="12" t="s">
        <v>718</v>
      </c>
      <c r="I125" s="11" t="s">
        <v>37</v>
      </c>
      <c r="J125" s="8"/>
      <c r="K125" s="8" t="s">
        <v>79</v>
      </c>
      <c r="L125" s="9"/>
      <c r="M125" s="9"/>
      <c r="N125" s="8"/>
      <c r="O125" s="10"/>
    </row>
    <row r="126" spans="1:15" ht="39.6" x14ac:dyDescent="0.3">
      <c r="A126" s="6" t="s">
        <v>719</v>
      </c>
      <c r="B126" s="7" t="s">
        <v>594</v>
      </c>
      <c r="C126" s="7" t="s">
        <v>703</v>
      </c>
      <c r="D126" s="7" t="s">
        <v>720</v>
      </c>
      <c r="E126" s="7" t="s">
        <v>721</v>
      </c>
      <c r="F126" s="7" t="s">
        <v>716</v>
      </c>
      <c r="G126" s="7" t="s">
        <v>722</v>
      </c>
      <c r="H126" s="7" t="s">
        <v>723</v>
      </c>
      <c r="I126" s="6" t="s">
        <v>37</v>
      </c>
      <c r="J126" s="8"/>
      <c r="K126" s="8" t="s">
        <v>79</v>
      </c>
      <c r="L126" s="9"/>
      <c r="M126" s="9"/>
      <c r="N126" s="8"/>
      <c r="O126" s="10"/>
    </row>
    <row r="127" spans="1:15" ht="39.6" x14ac:dyDescent="0.3">
      <c r="A127" s="11" t="s">
        <v>724</v>
      </c>
      <c r="B127" s="12" t="s">
        <v>594</v>
      </c>
      <c r="C127" s="12" t="s">
        <v>725</v>
      </c>
      <c r="D127" s="12" t="s">
        <v>726</v>
      </c>
      <c r="E127" s="12" t="s">
        <v>727</v>
      </c>
      <c r="F127" s="12" t="s">
        <v>728</v>
      </c>
      <c r="G127" s="12" t="s">
        <v>729</v>
      </c>
      <c r="H127" s="12" t="s">
        <v>730</v>
      </c>
      <c r="I127" s="11" t="s">
        <v>37</v>
      </c>
      <c r="J127" s="8"/>
      <c r="K127" s="8" t="s">
        <v>79</v>
      </c>
      <c r="L127" s="9"/>
      <c r="M127" s="9"/>
      <c r="N127" s="8"/>
      <c r="O127" s="10"/>
    </row>
    <row r="128" spans="1:15" ht="66" x14ac:dyDescent="0.3">
      <c r="A128" s="6" t="s">
        <v>731</v>
      </c>
      <c r="B128" s="7" t="s">
        <v>594</v>
      </c>
      <c r="C128" s="7" t="s">
        <v>732</v>
      </c>
      <c r="D128" s="7" t="s">
        <v>733</v>
      </c>
      <c r="E128" s="7" t="s">
        <v>734</v>
      </c>
      <c r="F128" s="7" t="s">
        <v>575</v>
      </c>
      <c r="G128" s="7" t="s">
        <v>735</v>
      </c>
      <c r="H128" s="7" t="s">
        <v>736</v>
      </c>
      <c r="I128" s="6" t="s">
        <v>37</v>
      </c>
      <c r="J128" s="8"/>
      <c r="K128" s="8" t="s">
        <v>79</v>
      </c>
      <c r="L128" s="9"/>
      <c r="M128" s="9"/>
      <c r="N128" s="8"/>
      <c r="O128" s="10"/>
    </row>
    <row r="129" spans="1:15" ht="52.8" x14ac:dyDescent="0.3">
      <c r="A129" s="11" t="s">
        <v>737</v>
      </c>
      <c r="B129" s="12" t="s">
        <v>594</v>
      </c>
      <c r="C129" s="12" t="s">
        <v>738</v>
      </c>
      <c r="D129" s="12" t="s">
        <v>4</v>
      </c>
      <c r="E129" s="12" t="s">
        <v>739</v>
      </c>
      <c r="F129" s="12" t="s">
        <v>740</v>
      </c>
      <c r="G129" s="12" t="s">
        <v>741</v>
      </c>
      <c r="H129" s="12" t="s">
        <v>742</v>
      </c>
      <c r="I129" s="11" t="s">
        <v>37</v>
      </c>
      <c r="J129" s="8"/>
      <c r="K129" s="8" t="s">
        <v>79</v>
      </c>
      <c r="L129" s="9"/>
      <c r="M129" s="9"/>
      <c r="N129" s="8"/>
      <c r="O129" s="10"/>
    </row>
    <row r="130" spans="1:15" ht="66" x14ac:dyDescent="0.3">
      <c r="A130" s="6" t="s">
        <v>743</v>
      </c>
      <c r="B130" s="7" t="s">
        <v>594</v>
      </c>
      <c r="C130" s="7" t="s">
        <v>744</v>
      </c>
      <c r="D130" s="7" t="s">
        <v>745</v>
      </c>
      <c r="E130" s="7" t="s">
        <v>746</v>
      </c>
      <c r="F130" s="7" t="s">
        <v>747</v>
      </c>
      <c r="G130" s="7" t="s">
        <v>748</v>
      </c>
      <c r="H130" s="7" t="s">
        <v>749</v>
      </c>
      <c r="I130" s="6" t="s">
        <v>37</v>
      </c>
      <c r="J130" s="8"/>
      <c r="K130" s="8" t="s">
        <v>79</v>
      </c>
      <c r="L130" s="9"/>
      <c r="M130" s="9"/>
      <c r="N130" s="8"/>
      <c r="O130" s="10"/>
    </row>
    <row r="131" spans="1:15" ht="39.6" x14ac:dyDescent="0.3">
      <c r="A131" s="11" t="s">
        <v>750</v>
      </c>
      <c r="B131" s="12" t="s">
        <v>594</v>
      </c>
      <c r="C131" s="12" t="s">
        <v>751</v>
      </c>
      <c r="D131" s="12" t="s">
        <v>752</v>
      </c>
      <c r="E131" s="12" t="s">
        <v>753</v>
      </c>
      <c r="F131" s="12" t="s">
        <v>656</v>
      </c>
      <c r="G131" s="12" t="s">
        <v>77</v>
      </c>
      <c r="H131" s="12" t="s">
        <v>754</v>
      </c>
      <c r="I131" s="11" t="s">
        <v>37</v>
      </c>
      <c r="J131" s="8"/>
      <c r="K131" s="8" t="s">
        <v>79</v>
      </c>
      <c r="L131" s="9"/>
      <c r="M131" s="9"/>
      <c r="N131" s="8"/>
      <c r="O131" s="10"/>
    </row>
    <row r="132" spans="1:15" ht="52.8" x14ac:dyDescent="0.3">
      <c r="A132" s="6" t="s">
        <v>755</v>
      </c>
      <c r="B132" s="7" t="s">
        <v>594</v>
      </c>
      <c r="C132" s="7" t="s">
        <v>751</v>
      </c>
      <c r="D132" s="7" t="s">
        <v>756</v>
      </c>
      <c r="E132" s="7" t="s">
        <v>757</v>
      </c>
      <c r="F132" s="7" t="s">
        <v>758</v>
      </c>
      <c r="G132" s="7" t="s">
        <v>759</v>
      </c>
      <c r="H132" s="7" t="s">
        <v>760</v>
      </c>
      <c r="I132" s="6" t="s">
        <v>37</v>
      </c>
      <c r="J132" s="8"/>
      <c r="K132" s="8" t="s">
        <v>79</v>
      </c>
      <c r="L132" s="9"/>
      <c r="M132" s="9"/>
      <c r="N132" s="8"/>
      <c r="O132" s="10"/>
    </row>
    <row r="133" spans="1:15" x14ac:dyDescent="0.3">
      <c r="A133" s="11" t="s">
        <v>761</v>
      </c>
      <c r="B133" s="12" t="s">
        <v>594</v>
      </c>
      <c r="C133" s="12" t="s">
        <v>762</v>
      </c>
      <c r="D133" s="12" t="s">
        <v>763</v>
      </c>
      <c r="E133" s="12" t="s">
        <v>764</v>
      </c>
      <c r="F133" s="12" t="s">
        <v>76</v>
      </c>
      <c r="G133" s="12" t="s">
        <v>77</v>
      </c>
      <c r="H133" s="12" t="s">
        <v>765</v>
      </c>
      <c r="I133" s="11" t="s">
        <v>37</v>
      </c>
      <c r="J133" s="8"/>
      <c r="K133" s="8" t="s">
        <v>79</v>
      </c>
      <c r="L133" s="9"/>
      <c r="M133" s="9"/>
      <c r="N133" s="8"/>
      <c r="O133" s="10"/>
    </row>
    <row r="134" spans="1:15" ht="39.6" x14ac:dyDescent="0.3">
      <c r="A134" s="6" t="s">
        <v>766</v>
      </c>
      <c r="B134" s="7" t="s">
        <v>594</v>
      </c>
      <c r="C134" s="7" t="s">
        <v>767</v>
      </c>
      <c r="D134" s="7" t="s">
        <v>768</v>
      </c>
      <c r="E134" s="7" t="s">
        <v>769</v>
      </c>
      <c r="F134" s="7" t="s">
        <v>76</v>
      </c>
      <c r="G134" s="7" t="s">
        <v>77</v>
      </c>
      <c r="H134" s="7" t="s">
        <v>770</v>
      </c>
      <c r="I134" s="6" t="s">
        <v>37</v>
      </c>
      <c r="J134" s="8"/>
      <c r="K134" s="8" t="s">
        <v>79</v>
      </c>
      <c r="L134" s="9"/>
      <c r="M134" s="9"/>
      <c r="N134" s="8"/>
      <c r="O134" s="10"/>
    </row>
    <row r="135" spans="1:15" ht="39.6" x14ac:dyDescent="0.3">
      <c r="A135" s="11" t="s">
        <v>771</v>
      </c>
      <c r="B135" s="12" t="s">
        <v>594</v>
      </c>
      <c r="C135" s="12" t="s">
        <v>772</v>
      </c>
      <c r="D135" s="12" t="s">
        <v>773</v>
      </c>
      <c r="E135" s="12" t="s">
        <v>774</v>
      </c>
      <c r="F135" s="12" t="s">
        <v>775</v>
      </c>
      <c r="G135" s="12" t="s">
        <v>776</v>
      </c>
      <c r="H135" s="12" t="s">
        <v>777</v>
      </c>
      <c r="I135" s="11" t="s">
        <v>37</v>
      </c>
      <c r="J135" s="8"/>
      <c r="K135" s="8" t="s">
        <v>79</v>
      </c>
      <c r="L135" s="9"/>
      <c r="M135" s="9"/>
      <c r="N135" s="8"/>
      <c r="O135" s="10"/>
    </row>
    <row r="136" spans="1:15" ht="26.4" x14ac:dyDescent="0.3">
      <c r="A136" s="6" t="s">
        <v>778</v>
      </c>
      <c r="B136" s="7" t="s">
        <v>594</v>
      </c>
      <c r="C136" s="7" t="s">
        <v>779</v>
      </c>
      <c r="D136" s="7" t="s">
        <v>780</v>
      </c>
      <c r="E136" s="7" t="s">
        <v>781</v>
      </c>
      <c r="F136" s="7" t="s">
        <v>775</v>
      </c>
      <c r="G136" s="7" t="s">
        <v>782</v>
      </c>
      <c r="H136" s="7" t="s">
        <v>783</v>
      </c>
      <c r="I136" s="6" t="s">
        <v>37</v>
      </c>
      <c r="J136" s="8"/>
      <c r="K136" s="8" t="s">
        <v>79</v>
      </c>
      <c r="L136" s="9"/>
      <c r="M136" s="9"/>
      <c r="N136" s="8"/>
      <c r="O136" s="10"/>
    </row>
    <row r="137" spans="1:15" ht="52.8" x14ac:dyDescent="0.3">
      <c r="A137" s="11" t="s">
        <v>784</v>
      </c>
      <c r="B137" s="12" t="s">
        <v>594</v>
      </c>
      <c r="C137" s="12" t="s">
        <v>779</v>
      </c>
      <c r="D137" s="12" t="s">
        <v>785</v>
      </c>
      <c r="E137" s="12" t="s">
        <v>786</v>
      </c>
      <c r="F137" s="12" t="s">
        <v>775</v>
      </c>
      <c r="G137" s="12" t="s">
        <v>787</v>
      </c>
      <c r="H137" s="12" t="s">
        <v>788</v>
      </c>
      <c r="I137" s="11" t="s">
        <v>37</v>
      </c>
      <c r="J137" s="8"/>
      <c r="K137" s="8" t="s">
        <v>79</v>
      </c>
      <c r="L137" s="9"/>
      <c r="M137" s="9"/>
      <c r="N137" s="8"/>
      <c r="O137" s="10"/>
    </row>
    <row r="138" spans="1:15" x14ac:dyDescent="0.3">
      <c r="A138" s="6" t="s">
        <v>789</v>
      </c>
      <c r="B138" s="7" t="s">
        <v>594</v>
      </c>
      <c r="C138" s="7" t="s">
        <v>790</v>
      </c>
      <c r="D138" s="7" t="s">
        <v>791</v>
      </c>
      <c r="E138" s="7" t="s">
        <v>792</v>
      </c>
      <c r="F138" s="7" t="s">
        <v>76</v>
      </c>
      <c r="G138" s="7" t="s">
        <v>793</v>
      </c>
      <c r="H138" s="7" t="s">
        <v>794</v>
      </c>
      <c r="I138" s="6" t="s">
        <v>37</v>
      </c>
      <c r="J138" s="8"/>
      <c r="K138" s="8" t="s">
        <v>79</v>
      </c>
      <c r="L138" s="9"/>
      <c r="M138" s="9"/>
      <c r="N138" s="8"/>
      <c r="O138" s="10"/>
    </row>
    <row r="139" spans="1:15" ht="39.6" x14ac:dyDescent="0.3">
      <c r="A139" s="11" t="s">
        <v>795</v>
      </c>
      <c r="B139" s="12" t="s">
        <v>594</v>
      </c>
      <c r="C139" s="12" t="s">
        <v>796</v>
      </c>
      <c r="D139" s="12" t="s">
        <v>797</v>
      </c>
      <c r="E139" s="12" t="s">
        <v>798</v>
      </c>
      <c r="F139" s="12" t="s">
        <v>799</v>
      </c>
      <c r="G139" s="12" t="s">
        <v>800</v>
      </c>
      <c r="H139" s="12" t="s">
        <v>801</v>
      </c>
      <c r="I139" s="11" t="s">
        <v>37</v>
      </c>
      <c r="J139" s="8"/>
      <c r="K139" s="8" t="s">
        <v>79</v>
      </c>
      <c r="L139" s="9"/>
      <c r="M139" s="9"/>
      <c r="N139" s="8"/>
      <c r="O139" s="10"/>
    </row>
    <row r="140" spans="1:15" ht="39.6" x14ac:dyDescent="0.3">
      <c r="A140" s="6" t="s">
        <v>802</v>
      </c>
      <c r="B140" s="7" t="s">
        <v>594</v>
      </c>
      <c r="C140" s="7" t="s">
        <v>796</v>
      </c>
      <c r="D140" s="7" t="s">
        <v>803</v>
      </c>
      <c r="E140" s="7" t="s">
        <v>804</v>
      </c>
      <c r="F140" s="7" t="s">
        <v>805</v>
      </c>
      <c r="G140" s="7" t="s">
        <v>806</v>
      </c>
      <c r="H140" s="7" t="s">
        <v>807</v>
      </c>
      <c r="I140" s="6" t="s">
        <v>37</v>
      </c>
      <c r="J140" s="8"/>
      <c r="K140" s="8" t="s">
        <v>79</v>
      </c>
      <c r="L140" s="9"/>
      <c r="M140" s="9"/>
      <c r="N140" s="8"/>
      <c r="O140" s="10"/>
    </row>
    <row r="141" spans="1:15" ht="39.6" x14ac:dyDescent="0.3">
      <c r="A141" s="11" t="s">
        <v>808</v>
      </c>
      <c r="B141" s="12" t="s">
        <v>594</v>
      </c>
      <c r="C141" s="12" t="s">
        <v>809</v>
      </c>
      <c r="D141" s="12" t="s">
        <v>810</v>
      </c>
      <c r="E141" s="12" t="s">
        <v>811</v>
      </c>
      <c r="F141" s="12" t="s">
        <v>76</v>
      </c>
      <c r="G141" s="12" t="s">
        <v>812</v>
      </c>
      <c r="H141" s="12" t="s">
        <v>813</v>
      </c>
      <c r="I141" s="11" t="s">
        <v>37</v>
      </c>
      <c r="J141" s="8"/>
      <c r="K141" s="8" t="s">
        <v>79</v>
      </c>
      <c r="L141" s="9"/>
      <c r="M141" s="9"/>
      <c r="N141" s="8"/>
      <c r="O141" s="10"/>
    </row>
    <row r="142" spans="1:15" ht="26.4" x14ac:dyDescent="0.3">
      <c r="A142" s="6" t="s">
        <v>814</v>
      </c>
      <c r="B142" s="7" t="s">
        <v>594</v>
      </c>
      <c r="C142" s="7" t="s">
        <v>815</v>
      </c>
      <c r="D142" s="7" t="s">
        <v>815</v>
      </c>
      <c r="E142" s="7" t="s">
        <v>816</v>
      </c>
      <c r="F142" s="7" t="s">
        <v>817</v>
      </c>
      <c r="G142" s="7" t="s">
        <v>657</v>
      </c>
      <c r="H142" s="7" t="s">
        <v>818</v>
      </c>
      <c r="I142" s="6" t="s">
        <v>45</v>
      </c>
      <c r="J142" s="8"/>
      <c r="K142" s="8" t="s">
        <v>275</v>
      </c>
      <c r="L142" s="9"/>
      <c r="M142" s="9"/>
      <c r="N142" s="8"/>
      <c r="O142" s="10"/>
    </row>
    <row r="143" spans="1:15" ht="52.8" x14ac:dyDescent="0.3">
      <c r="A143" s="11" t="s">
        <v>819</v>
      </c>
      <c r="B143" s="12" t="s">
        <v>820</v>
      </c>
      <c r="C143" s="12" t="s">
        <v>821</v>
      </c>
      <c r="D143" s="12" t="s">
        <v>822</v>
      </c>
      <c r="E143" s="12" t="s">
        <v>823</v>
      </c>
      <c r="F143" s="12" t="s">
        <v>76</v>
      </c>
      <c r="G143" s="12" t="s">
        <v>77</v>
      </c>
      <c r="H143" s="12" t="s">
        <v>824</v>
      </c>
      <c r="I143" s="11" t="s">
        <v>37</v>
      </c>
      <c r="J143" s="8"/>
      <c r="K143" s="8" t="s">
        <v>79</v>
      </c>
      <c r="L143" s="9"/>
      <c r="M143" s="9"/>
      <c r="N143" s="8"/>
      <c r="O143" s="10"/>
    </row>
    <row r="144" spans="1:15" ht="39.6" x14ac:dyDescent="0.3">
      <c r="A144" s="6" t="s">
        <v>825</v>
      </c>
      <c r="B144" s="7" t="s">
        <v>820</v>
      </c>
      <c r="C144" s="7" t="s">
        <v>826</v>
      </c>
      <c r="D144" s="7" t="s">
        <v>827</v>
      </c>
      <c r="E144" s="7" t="s">
        <v>828</v>
      </c>
      <c r="F144" s="7" t="s">
        <v>829</v>
      </c>
      <c r="G144" s="7" t="s">
        <v>830</v>
      </c>
      <c r="H144" s="7" t="s">
        <v>831</v>
      </c>
      <c r="I144" s="6" t="s">
        <v>37</v>
      </c>
      <c r="J144" s="8"/>
      <c r="K144" s="8" t="s">
        <v>79</v>
      </c>
      <c r="L144" s="9"/>
      <c r="M144" s="9"/>
      <c r="N144" s="8"/>
      <c r="O144" s="10"/>
    </row>
    <row r="145" spans="1:15" ht="39.6" x14ac:dyDescent="0.3">
      <c r="A145" s="11" t="s">
        <v>832</v>
      </c>
      <c r="B145" s="12" t="s">
        <v>820</v>
      </c>
      <c r="C145" s="12" t="s">
        <v>826</v>
      </c>
      <c r="D145" s="12" t="s">
        <v>833</v>
      </c>
      <c r="E145" s="12" t="s">
        <v>834</v>
      </c>
      <c r="F145" s="12" t="s">
        <v>76</v>
      </c>
      <c r="G145" s="12" t="s">
        <v>77</v>
      </c>
      <c r="H145" s="12" t="s">
        <v>835</v>
      </c>
      <c r="I145" s="11" t="s">
        <v>37</v>
      </c>
      <c r="J145" s="8"/>
      <c r="K145" s="8" t="s">
        <v>79</v>
      </c>
      <c r="L145" s="9"/>
      <c r="M145" s="9"/>
      <c r="N145" s="8"/>
      <c r="O145" s="10"/>
    </row>
    <row r="146" spans="1:15" ht="39.6" x14ac:dyDescent="0.3">
      <c r="A146" s="6" t="s">
        <v>836</v>
      </c>
      <c r="B146" s="7" t="s">
        <v>820</v>
      </c>
      <c r="C146" s="7" t="s">
        <v>826</v>
      </c>
      <c r="D146" s="7" t="s">
        <v>837</v>
      </c>
      <c r="E146" s="7" t="s">
        <v>838</v>
      </c>
      <c r="F146" s="7" t="s">
        <v>76</v>
      </c>
      <c r="G146" s="7" t="s">
        <v>77</v>
      </c>
      <c r="H146" s="7" t="s">
        <v>839</v>
      </c>
      <c r="I146" s="6" t="s">
        <v>37</v>
      </c>
      <c r="J146" s="8"/>
      <c r="K146" s="8" t="s">
        <v>79</v>
      </c>
      <c r="L146" s="9"/>
      <c r="M146" s="9"/>
      <c r="N146" s="8"/>
      <c r="O146" s="10"/>
    </row>
    <row r="147" spans="1:15" ht="39.6" x14ac:dyDescent="0.3">
      <c r="A147" s="11" t="s">
        <v>840</v>
      </c>
      <c r="B147" s="12" t="s">
        <v>820</v>
      </c>
      <c r="C147" s="12" t="s">
        <v>841</v>
      </c>
      <c r="D147" s="12" t="s">
        <v>842</v>
      </c>
      <c r="E147" s="12" t="s">
        <v>843</v>
      </c>
      <c r="F147" s="12" t="s">
        <v>716</v>
      </c>
      <c r="G147" s="12" t="s">
        <v>844</v>
      </c>
      <c r="H147" s="12" t="s">
        <v>845</v>
      </c>
      <c r="I147" s="11" t="s">
        <v>37</v>
      </c>
      <c r="J147" s="8"/>
      <c r="K147" s="8" t="s">
        <v>79</v>
      </c>
      <c r="L147" s="9"/>
      <c r="M147" s="9"/>
      <c r="N147" s="8"/>
      <c r="O147" s="10"/>
    </row>
    <row r="148" spans="1:15" ht="26.4" x14ac:dyDescent="0.3">
      <c r="A148" s="6" t="s">
        <v>846</v>
      </c>
      <c r="B148" s="7" t="s">
        <v>820</v>
      </c>
      <c r="C148" s="7" t="s">
        <v>826</v>
      </c>
      <c r="D148" s="7" t="s">
        <v>847</v>
      </c>
      <c r="E148" s="7" t="s">
        <v>848</v>
      </c>
      <c r="F148" s="7" t="s">
        <v>76</v>
      </c>
      <c r="G148" s="7" t="s">
        <v>77</v>
      </c>
      <c r="H148" s="7" t="s">
        <v>849</v>
      </c>
      <c r="I148" s="6" t="s">
        <v>37</v>
      </c>
      <c r="J148" s="8"/>
      <c r="K148" s="8" t="s">
        <v>79</v>
      </c>
      <c r="L148" s="9"/>
      <c r="M148" s="9"/>
      <c r="N148" s="8"/>
      <c r="O148" s="10"/>
    </row>
    <row r="149" spans="1:15" x14ac:dyDescent="0.3">
      <c r="A149" s="11" t="s">
        <v>850</v>
      </c>
      <c r="B149" s="12" t="s">
        <v>820</v>
      </c>
      <c r="C149" s="12" t="s">
        <v>826</v>
      </c>
      <c r="D149" s="12" t="s">
        <v>851</v>
      </c>
      <c r="E149" s="12" t="s">
        <v>852</v>
      </c>
      <c r="F149" s="12" t="s">
        <v>76</v>
      </c>
      <c r="G149" s="12" t="s">
        <v>77</v>
      </c>
      <c r="H149" s="12" t="s">
        <v>853</v>
      </c>
      <c r="I149" s="11" t="s">
        <v>37</v>
      </c>
      <c r="J149" s="8"/>
      <c r="K149" s="8" t="s">
        <v>79</v>
      </c>
      <c r="L149" s="9"/>
      <c r="M149" s="9"/>
      <c r="N149" s="8"/>
      <c r="O149" s="10"/>
    </row>
    <row r="150" spans="1:15" x14ac:dyDescent="0.3">
      <c r="A150" s="6" t="s">
        <v>854</v>
      </c>
      <c r="B150" s="7" t="s">
        <v>820</v>
      </c>
      <c r="C150" s="7" t="s">
        <v>826</v>
      </c>
      <c r="D150" s="7" t="s">
        <v>855</v>
      </c>
      <c r="E150" s="7" t="s">
        <v>856</v>
      </c>
      <c r="F150" s="7" t="s">
        <v>76</v>
      </c>
      <c r="G150" s="7" t="s">
        <v>77</v>
      </c>
      <c r="H150" s="7" t="s">
        <v>857</v>
      </c>
      <c r="I150" s="6" t="s">
        <v>37</v>
      </c>
      <c r="J150" s="8"/>
      <c r="K150" s="8" t="s">
        <v>79</v>
      </c>
      <c r="L150" s="9"/>
      <c r="M150" s="9"/>
      <c r="N150" s="8"/>
      <c r="O150" s="10"/>
    </row>
    <row r="151" spans="1:15" ht="39.6" x14ac:dyDescent="0.3">
      <c r="A151" s="11" t="s">
        <v>858</v>
      </c>
      <c r="B151" s="12" t="s">
        <v>820</v>
      </c>
      <c r="C151" s="12" t="s">
        <v>826</v>
      </c>
      <c r="D151" s="12" t="s">
        <v>859</v>
      </c>
      <c r="E151" s="12" t="s">
        <v>860</v>
      </c>
      <c r="F151" s="12" t="s">
        <v>861</v>
      </c>
      <c r="G151" s="12" t="s">
        <v>862</v>
      </c>
      <c r="H151" s="12" t="s">
        <v>863</v>
      </c>
      <c r="I151" s="11" t="s">
        <v>37</v>
      </c>
      <c r="J151" s="8"/>
      <c r="K151" s="8" t="s">
        <v>79</v>
      </c>
      <c r="L151" s="9"/>
      <c r="M151" s="9"/>
      <c r="N151" s="8"/>
      <c r="O151" s="10"/>
    </row>
    <row r="152" spans="1:15" x14ac:dyDescent="0.3">
      <c r="A152" s="6" t="s">
        <v>864</v>
      </c>
      <c r="B152" s="7" t="s">
        <v>820</v>
      </c>
      <c r="C152" s="7" t="s">
        <v>826</v>
      </c>
      <c r="D152" s="7" t="s">
        <v>865</v>
      </c>
      <c r="E152" s="7" t="s">
        <v>866</v>
      </c>
      <c r="F152" s="7" t="s">
        <v>76</v>
      </c>
      <c r="G152" s="7" t="s">
        <v>77</v>
      </c>
      <c r="H152" s="7" t="s">
        <v>867</v>
      </c>
      <c r="I152" s="6" t="s">
        <v>37</v>
      </c>
      <c r="J152" s="8"/>
      <c r="K152" s="8" t="s">
        <v>79</v>
      </c>
      <c r="L152" s="9"/>
      <c r="M152" s="9"/>
      <c r="N152" s="8"/>
      <c r="O152" s="10"/>
    </row>
    <row r="153" spans="1:15" ht="26.4" x14ac:dyDescent="0.3">
      <c r="A153" s="11" t="s">
        <v>868</v>
      </c>
      <c r="B153" s="12" t="s">
        <v>820</v>
      </c>
      <c r="C153" s="12" t="s">
        <v>826</v>
      </c>
      <c r="D153" s="12" t="s">
        <v>869</v>
      </c>
      <c r="E153" s="12" t="s">
        <v>870</v>
      </c>
      <c r="F153" s="12" t="s">
        <v>716</v>
      </c>
      <c r="G153" s="12" t="s">
        <v>871</v>
      </c>
      <c r="H153" s="12" t="s">
        <v>872</v>
      </c>
      <c r="I153" s="11" t="s">
        <v>37</v>
      </c>
      <c r="J153" s="8"/>
      <c r="K153" s="8" t="s">
        <v>79</v>
      </c>
      <c r="L153" s="9"/>
      <c r="M153" s="9"/>
      <c r="N153" s="8"/>
      <c r="O153" s="10"/>
    </row>
    <row r="154" spans="1:15" ht="66" x14ac:dyDescent="0.3">
      <c r="A154" s="6" t="s">
        <v>873</v>
      </c>
      <c r="B154" s="7" t="s">
        <v>820</v>
      </c>
      <c r="C154" s="7" t="s">
        <v>874</v>
      </c>
      <c r="D154" s="7" t="s">
        <v>875</v>
      </c>
      <c r="E154" s="7" t="s">
        <v>876</v>
      </c>
      <c r="F154" s="7" t="s">
        <v>610</v>
      </c>
      <c r="G154" s="7" t="s">
        <v>877</v>
      </c>
      <c r="H154" s="7" t="s">
        <v>878</v>
      </c>
      <c r="I154" s="6" t="s">
        <v>37</v>
      </c>
      <c r="J154" s="8"/>
      <c r="K154" s="8" t="s">
        <v>79</v>
      </c>
      <c r="L154" s="9"/>
      <c r="M154" s="9"/>
      <c r="N154" s="8"/>
      <c r="O154" s="10"/>
    </row>
    <row r="155" spans="1:15" x14ac:dyDescent="0.3">
      <c r="A155" s="11" t="s">
        <v>879</v>
      </c>
      <c r="B155" s="12" t="s">
        <v>820</v>
      </c>
      <c r="C155" s="12" t="s">
        <v>874</v>
      </c>
      <c r="D155" s="12" t="s">
        <v>880</v>
      </c>
      <c r="E155" s="12" t="s">
        <v>881</v>
      </c>
      <c r="F155" s="12" t="s">
        <v>76</v>
      </c>
      <c r="G155" s="12" t="s">
        <v>882</v>
      </c>
      <c r="H155" s="12" t="s">
        <v>883</v>
      </c>
      <c r="I155" s="11" t="s">
        <v>37</v>
      </c>
      <c r="J155" s="8"/>
      <c r="K155" s="8" t="s">
        <v>79</v>
      </c>
      <c r="L155" s="9"/>
      <c r="M155" s="9"/>
      <c r="N155" s="8"/>
      <c r="O155" s="10"/>
    </row>
    <row r="156" spans="1:15" ht="39.6" x14ac:dyDescent="0.3">
      <c r="A156" s="6" t="s">
        <v>884</v>
      </c>
      <c r="B156" s="7" t="s">
        <v>820</v>
      </c>
      <c r="C156" s="7" t="s">
        <v>874</v>
      </c>
      <c r="D156" s="7" t="s">
        <v>885</v>
      </c>
      <c r="E156" s="7" t="s">
        <v>886</v>
      </c>
      <c r="F156" s="7" t="s">
        <v>887</v>
      </c>
      <c r="G156" s="7" t="s">
        <v>888</v>
      </c>
      <c r="H156" s="7" t="s">
        <v>889</v>
      </c>
      <c r="I156" s="6" t="s">
        <v>37</v>
      </c>
      <c r="J156" s="8"/>
      <c r="K156" s="8" t="s">
        <v>79</v>
      </c>
      <c r="L156" s="9"/>
      <c r="M156" s="9"/>
      <c r="N156" s="8"/>
      <c r="O156" s="10"/>
    </row>
    <row r="157" spans="1:15" ht="26.4" x14ac:dyDescent="0.3">
      <c r="A157" s="11" t="s">
        <v>890</v>
      </c>
      <c r="B157" s="12" t="s">
        <v>820</v>
      </c>
      <c r="C157" s="12" t="s">
        <v>874</v>
      </c>
      <c r="D157" s="12" t="s">
        <v>891</v>
      </c>
      <c r="E157" s="12" t="s">
        <v>892</v>
      </c>
      <c r="F157" s="12" t="s">
        <v>76</v>
      </c>
      <c r="G157" s="12" t="s">
        <v>893</v>
      </c>
      <c r="H157" s="12" t="s">
        <v>894</v>
      </c>
      <c r="I157" s="11" t="s">
        <v>37</v>
      </c>
      <c r="J157" s="8"/>
      <c r="K157" s="8" t="s">
        <v>79</v>
      </c>
      <c r="L157" s="9"/>
      <c r="M157" s="9"/>
      <c r="N157" s="8"/>
      <c r="O157" s="10"/>
    </row>
    <row r="158" spans="1:15" ht="26.4" x14ac:dyDescent="0.3">
      <c r="A158" s="6" t="s">
        <v>895</v>
      </c>
      <c r="B158" s="7" t="s">
        <v>820</v>
      </c>
      <c r="C158" s="7" t="s">
        <v>896</v>
      </c>
      <c r="D158" s="7" t="s">
        <v>897</v>
      </c>
      <c r="E158" s="7" t="s">
        <v>898</v>
      </c>
      <c r="F158" s="7" t="s">
        <v>899</v>
      </c>
      <c r="G158" s="7" t="s">
        <v>900</v>
      </c>
      <c r="H158" s="7" t="s">
        <v>901</v>
      </c>
      <c r="I158" s="6" t="s">
        <v>37</v>
      </c>
      <c r="J158" s="8"/>
      <c r="K158" s="8" t="s">
        <v>79</v>
      </c>
      <c r="L158" s="9"/>
      <c r="M158" s="9"/>
      <c r="N158" s="8"/>
      <c r="O158" s="10"/>
    </row>
    <row r="159" spans="1:15" ht="39.6" x14ac:dyDescent="0.3">
      <c r="A159" s="11" t="s">
        <v>902</v>
      </c>
      <c r="B159" s="12" t="s">
        <v>820</v>
      </c>
      <c r="C159" s="12" t="s">
        <v>896</v>
      </c>
      <c r="D159" s="12" t="s">
        <v>903</v>
      </c>
      <c r="E159" s="12" t="s">
        <v>904</v>
      </c>
      <c r="F159" s="12" t="s">
        <v>905</v>
      </c>
      <c r="G159" s="12" t="s">
        <v>906</v>
      </c>
      <c r="H159" s="12" t="s">
        <v>907</v>
      </c>
      <c r="I159" s="11" t="s">
        <v>37</v>
      </c>
      <c r="J159" s="8"/>
      <c r="K159" s="8" t="s">
        <v>79</v>
      </c>
      <c r="L159" s="9"/>
      <c r="M159" s="9"/>
      <c r="N159" s="8"/>
      <c r="O159" s="10"/>
    </row>
    <row r="160" spans="1:15" ht="26.4" x14ac:dyDescent="0.3">
      <c r="A160" s="6" t="s">
        <v>908</v>
      </c>
      <c r="B160" s="7" t="s">
        <v>820</v>
      </c>
      <c r="C160" s="7" t="s">
        <v>896</v>
      </c>
      <c r="D160" s="7" t="s">
        <v>909</v>
      </c>
      <c r="E160" s="7" t="s">
        <v>910</v>
      </c>
      <c r="F160" s="7" t="s">
        <v>716</v>
      </c>
      <c r="G160" s="7" t="s">
        <v>911</v>
      </c>
      <c r="H160" s="7" t="s">
        <v>912</v>
      </c>
      <c r="I160" s="6" t="s">
        <v>37</v>
      </c>
      <c r="J160" s="8"/>
      <c r="K160" s="8" t="s">
        <v>79</v>
      </c>
      <c r="L160" s="9"/>
      <c r="M160" s="9"/>
      <c r="N160" s="8"/>
      <c r="O160" s="10"/>
    </row>
    <row r="161" spans="1:15" ht="39.6" x14ac:dyDescent="0.3">
      <c r="A161" s="11" t="s">
        <v>913</v>
      </c>
      <c r="B161" s="12" t="s">
        <v>820</v>
      </c>
      <c r="C161" s="12" t="s">
        <v>896</v>
      </c>
      <c r="D161" s="12" t="s">
        <v>914</v>
      </c>
      <c r="E161" s="12" t="s">
        <v>915</v>
      </c>
      <c r="F161" s="12" t="s">
        <v>916</v>
      </c>
      <c r="G161" s="12" t="s">
        <v>917</v>
      </c>
      <c r="H161" s="12" t="s">
        <v>918</v>
      </c>
      <c r="I161" s="11" t="s">
        <v>37</v>
      </c>
      <c r="J161" s="8"/>
      <c r="K161" s="8" t="s">
        <v>79</v>
      </c>
      <c r="L161" s="9"/>
      <c r="M161" s="9"/>
      <c r="N161" s="8"/>
      <c r="O161" s="10"/>
    </row>
    <row r="162" spans="1:15" ht="39.6" x14ac:dyDescent="0.3">
      <c r="A162" s="6" t="s">
        <v>919</v>
      </c>
      <c r="B162" s="7" t="s">
        <v>820</v>
      </c>
      <c r="C162" s="7" t="s">
        <v>896</v>
      </c>
      <c r="D162" s="7" t="s">
        <v>920</v>
      </c>
      <c r="E162" s="7" t="s">
        <v>921</v>
      </c>
      <c r="F162" s="7" t="s">
        <v>716</v>
      </c>
      <c r="G162" s="7" t="s">
        <v>922</v>
      </c>
      <c r="H162" s="7" t="s">
        <v>923</v>
      </c>
      <c r="I162" s="6" t="s">
        <v>37</v>
      </c>
      <c r="J162" s="8"/>
      <c r="K162" s="8" t="s">
        <v>79</v>
      </c>
      <c r="L162" s="9"/>
      <c r="M162" s="9"/>
      <c r="N162" s="8"/>
      <c r="O162" s="10"/>
    </row>
    <row r="163" spans="1:15" ht="39.6" x14ac:dyDescent="0.3">
      <c r="A163" s="11" t="s">
        <v>924</v>
      </c>
      <c r="B163" s="12" t="s">
        <v>820</v>
      </c>
      <c r="C163" s="12" t="s">
        <v>896</v>
      </c>
      <c r="D163" s="12" t="s">
        <v>925</v>
      </c>
      <c r="E163" s="12" t="s">
        <v>926</v>
      </c>
      <c r="F163" s="12" t="s">
        <v>550</v>
      </c>
      <c r="G163" s="12" t="s">
        <v>927</v>
      </c>
      <c r="H163" s="12" t="s">
        <v>928</v>
      </c>
      <c r="I163" s="11" t="s">
        <v>37</v>
      </c>
      <c r="J163" s="8"/>
      <c r="K163" s="8" t="s">
        <v>79</v>
      </c>
      <c r="L163" s="9"/>
      <c r="M163" s="9"/>
      <c r="N163" s="8"/>
      <c r="O163" s="10"/>
    </row>
    <row r="164" spans="1:15" ht="39.6" x14ac:dyDescent="0.3">
      <c r="A164" s="6" t="s">
        <v>929</v>
      </c>
      <c r="B164" s="7" t="s">
        <v>820</v>
      </c>
      <c r="C164" s="7" t="s">
        <v>896</v>
      </c>
      <c r="D164" s="7" t="s">
        <v>930</v>
      </c>
      <c r="E164" s="7" t="s">
        <v>931</v>
      </c>
      <c r="F164" s="7" t="s">
        <v>932</v>
      </c>
      <c r="G164" s="7" t="s">
        <v>933</v>
      </c>
      <c r="H164" s="7" t="s">
        <v>934</v>
      </c>
      <c r="I164" s="6" t="s">
        <v>37</v>
      </c>
      <c r="J164" s="8"/>
      <c r="K164" s="8" t="s">
        <v>79</v>
      </c>
      <c r="L164" s="9"/>
      <c r="M164" s="9"/>
      <c r="N164" s="8"/>
      <c r="O164" s="10"/>
    </row>
    <row r="165" spans="1:15" ht="26.4" x14ac:dyDescent="0.3">
      <c r="A165" s="11" t="s">
        <v>935</v>
      </c>
      <c r="B165" s="12" t="s">
        <v>820</v>
      </c>
      <c r="C165" s="12" t="s">
        <v>896</v>
      </c>
      <c r="D165" s="12" t="s">
        <v>936</v>
      </c>
      <c r="E165" s="12" t="s">
        <v>937</v>
      </c>
      <c r="F165" s="12" t="s">
        <v>938</v>
      </c>
      <c r="G165" s="12" t="s">
        <v>939</v>
      </c>
      <c r="H165" s="12" t="s">
        <v>940</v>
      </c>
      <c r="I165" s="11" t="s">
        <v>37</v>
      </c>
      <c r="J165" s="8"/>
      <c r="K165" s="8" t="s">
        <v>79</v>
      </c>
      <c r="L165" s="9"/>
      <c r="M165" s="9"/>
      <c r="N165" s="8"/>
      <c r="O165" s="10"/>
    </row>
    <row r="166" spans="1:15" ht="26.4" x14ac:dyDescent="0.3">
      <c r="A166" s="6" t="s">
        <v>941</v>
      </c>
      <c r="B166" s="7" t="s">
        <v>820</v>
      </c>
      <c r="C166" s="7" t="s">
        <v>942</v>
      </c>
      <c r="D166" s="7" t="s">
        <v>943</v>
      </c>
      <c r="E166" s="7" t="s">
        <v>944</v>
      </c>
      <c r="F166" s="7" t="s">
        <v>716</v>
      </c>
      <c r="G166" s="7" t="s">
        <v>945</v>
      </c>
      <c r="H166" s="7" t="s">
        <v>946</v>
      </c>
      <c r="I166" s="6" t="s">
        <v>37</v>
      </c>
      <c r="J166" s="8"/>
      <c r="K166" s="8" t="s">
        <v>79</v>
      </c>
      <c r="L166" s="9"/>
      <c r="M166" s="9"/>
      <c r="N166" s="8"/>
      <c r="O166" s="10"/>
    </row>
    <row r="167" spans="1:15" ht="26.4" x14ac:dyDescent="0.3">
      <c r="A167" s="11" t="s">
        <v>947</v>
      </c>
      <c r="B167" s="12" t="s">
        <v>948</v>
      </c>
      <c r="C167" s="12" t="s">
        <v>949</v>
      </c>
      <c r="D167" s="12" t="s">
        <v>950</v>
      </c>
      <c r="E167" s="12" t="s">
        <v>951</v>
      </c>
      <c r="F167" s="12" t="s">
        <v>952</v>
      </c>
      <c r="G167" s="12" t="s">
        <v>77</v>
      </c>
      <c r="H167" s="12" t="s">
        <v>953</v>
      </c>
      <c r="I167" s="11" t="s">
        <v>37</v>
      </c>
      <c r="J167" s="8"/>
      <c r="K167" s="8" t="s">
        <v>79</v>
      </c>
      <c r="L167" s="9"/>
      <c r="M167" s="9"/>
      <c r="N167" s="8"/>
      <c r="O167" s="10"/>
    </row>
    <row r="168" spans="1:15" x14ac:dyDescent="0.3">
      <c r="A168" s="6" t="s">
        <v>954</v>
      </c>
      <c r="B168" s="7" t="s">
        <v>948</v>
      </c>
      <c r="C168" s="7" t="s">
        <v>955</v>
      </c>
      <c r="D168" s="7" t="s">
        <v>956</v>
      </c>
      <c r="E168" s="7" t="s">
        <v>957</v>
      </c>
      <c r="F168" s="7" t="s">
        <v>958</v>
      </c>
      <c r="G168" s="7" t="s">
        <v>77</v>
      </c>
      <c r="H168" s="7" t="s">
        <v>959</v>
      </c>
      <c r="I168" s="6" t="s">
        <v>37</v>
      </c>
      <c r="J168" s="8"/>
      <c r="K168" s="8" t="s">
        <v>79</v>
      </c>
      <c r="L168" s="9"/>
      <c r="M168" s="9"/>
      <c r="N168" s="8"/>
      <c r="O168" s="10"/>
    </row>
    <row r="169" spans="1:15" ht="52.8" x14ac:dyDescent="0.3">
      <c r="A169" s="11" t="s">
        <v>960</v>
      </c>
      <c r="B169" s="12" t="s">
        <v>948</v>
      </c>
      <c r="C169" s="12" t="s">
        <v>955</v>
      </c>
      <c r="D169" s="12" t="s">
        <v>961</v>
      </c>
      <c r="E169" s="12" t="s">
        <v>962</v>
      </c>
      <c r="F169" s="12" t="s">
        <v>963</v>
      </c>
      <c r="G169" s="12" t="s">
        <v>964</v>
      </c>
      <c r="H169" s="12" t="s">
        <v>965</v>
      </c>
      <c r="I169" s="11" t="s">
        <v>37</v>
      </c>
      <c r="J169" s="8"/>
      <c r="K169" s="8" t="s">
        <v>79</v>
      </c>
      <c r="L169" s="9"/>
      <c r="M169" s="9"/>
      <c r="N169" s="8"/>
      <c r="O169" s="10"/>
    </row>
    <row r="170" spans="1:15" x14ac:dyDescent="0.3">
      <c r="A170" s="6" t="s">
        <v>966</v>
      </c>
      <c r="B170" s="7" t="s">
        <v>948</v>
      </c>
      <c r="C170" s="7" t="s">
        <v>955</v>
      </c>
      <c r="D170" s="7" t="s">
        <v>967</v>
      </c>
      <c r="E170" s="7" t="s">
        <v>968</v>
      </c>
      <c r="F170" s="7" t="s">
        <v>958</v>
      </c>
      <c r="G170" s="7" t="s">
        <v>77</v>
      </c>
      <c r="H170" s="7" t="s">
        <v>969</v>
      </c>
      <c r="I170" s="6" t="s">
        <v>37</v>
      </c>
      <c r="J170" s="8"/>
      <c r="K170" s="8" t="s">
        <v>79</v>
      </c>
      <c r="L170" s="9"/>
      <c r="M170" s="9"/>
      <c r="N170" s="8"/>
      <c r="O170" s="10"/>
    </row>
    <row r="171" spans="1:15" ht="26.4" x14ac:dyDescent="0.3">
      <c r="A171" s="11" t="s">
        <v>970</v>
      </c>
      <c r="B171" s="12" t="s">
        <v>948</v>
      </c>
      <c r="C171" s="12" t="s">
        <v>955</v>
      </c>
      <c r="D171" s="12" t="s">
        <v>971</v>
      </c>
      <c r="E171" s="12" t="s">
        <v>972</v>
      </c>
      <c r="F171" s="12" t="s">
        <v>958</v>
      </c>
      <c r="G171" s="12" t="s">
        <v>973</v>
      </c>
      <c r="H171" s="12" t="s">
        <v>974</v>
      </c>
      <c r="I171" s="11" t="s">
        <v>37</v>
      </c>
      <c r="J171" s="8"/>
      <c r="K171" s="8" t="s">
        <v>79</v>
      </c>
      <c r="L171" s="9"/>
      <c r="M171" s="9"/>
      <c r="N171" s="8"/>
      <c r="O171" s="10"/>
    </row>
    <row r="172" spans="1:15" ht="26.4" x14ac:dyDescent="0.3">
      <c r="A172" s="6" t="s">
        <v>975</v>
      </c>
      <c r="B172" s="7" t="s">
        <v>948</v>
      </c>
      <c r="C172" s="7" t="s">
        <v>955</v>
      </c>
      <c r="D172" s="7" t="s">
        <v>976</v>
      </c>
      <c r="E172" s="7" t="s">
        <v>977</v>
      </c>
      <c r="F172" s="7" t="s">
        <v>978</v>
      </c>
      <c r="G172" s="7" t="s">
        <v>77</v>
      </c>
      <c r="H172" s="7" t="s">
        <v>979</v>
      </c>
      <c r="I172" s="6" t="s">
        <v>37</v>
      </c>
      <c r="J172" s="8"/>
      <c r="K172" s="8" t="s">
        <v>79</v>
      </c>
      <c r="L172" s="9"/>
      <c r="M172" s="9"/>
      <c r="N172" s="8"/>
      <c r="O172" s="10"/>
    </row>
    <row r="173" spans="1:15" ht="26.4" x14ac:dyDescent="0.3">
      <c r="A173" s="11" t="s">
        <v>980</v>
      </c>
      <c r="B173" s="12" t="s">
        <v>948</v>
      </c>
      <c r="C173" s="12"/>
      <c r="D173" s="12" t="s">
        <v>981</v>
      </c>
      <c r="E173" s="12" t="s">
        <v>982</v>
      </c>
      <c r="F173" s="12" t="s">
        <v>983</v>
      </c>
      <c r="G173" s="12" t="s">
        <v>984</v>
      </c>
      <c r="H173" s="12" t="s">
        <v>985</v>
      </c>
      <c r="I173" s="11" t="s">
        <v>45</v>
      </c>
      <c r="J173" s="8"/>
      <c r="K173" s="8" t="s">
        <v>275</v>
      </c>
      <c r="L173" s="9"/>
      <c r="M173" s="9"/>
      <c r="N173" s="8"/>
      <c r="O173" s="10"/>
    </row>
    <row r="174" spans="1:15" ht="52.8" x14ac:dyDescent="0.3">
      <c r="A174" s="6" t="s">
        <v>986</v>
      </c>
      <c r="B174" s="7" t="s">
        <v>987</v>
      </c>
      <c r="C174" s="7" t="s">
        <v>988</v>
      </c>
      <c r="D174" s="7" t="s">
        <v>989</v>
      </c>
      <c r="E174" s="7" t="s">
        <v>990</v>
      </c>
      <c r="F174" s="7" t="s">
        <v>991</v>
      </c>
      <c r="G174" s="7" t="s">
        <v>77</v>
      </c>
      <c r="H174" s="7" t="s">
        <v>992</v>
      </c>
      <c r="I174" s="6" t="s">
        <v>37</v>
      </c>
      <c r="J174" s="8"/>
      <c r="K174" s="8" t="s">
        <v>79</v>
      </c>
      <c r="L174" s="9"/>
      <c r="M174" s="9"/>
      <c r="N174" s="8"/>
      <c r="O174" s="10"/>
    </row>
    <row r="175" spans="1:15" ht="26.4" x14ac:dyDescent="0.3">
      <c r="A175" s="11" t="s">
        <v>993</v>
      </c>
      <c r="B175" s="12" t="s">
        <v>987</v>
      </c>
      <c r="C175" s="12" t="s">
        <v>994</v>
      </c>
      <c r="D175" s="12" t="s">
        <v>995</v>
      </c>
      <c r="E175" s="12" t="s">
        <v>996</v>
      </c>
      <c r="F175" s="12" t="s">
        <v>48</v>
      </c>
      <c r="G175" s="12" t="s">
        <v>997</v>
      </c>
      <c r="H175" s="12" t="s">
        <v>998</v>
      </c>
      <c r="I175" s="11" t="s">
        <v>37</v>
      </c>
      <c r="J175" s="8"/>
      <c r="K175" s="8" t="s">
        <v>79</v>
      </c>
      <c r="L175" s="9"/>
      <c r="M175" s="9"/>
      <c r="N175" s="8"/>
      <c r="O175" s="10"/>
    </row>
    <row r="176" spans="1:15" ht="26.4" x14ac:dyDescent="0.3">
      <c r="A176" s="6" t="s">
        <v>999</v>
      </c>
      <c r="B176" s="7" t="s">
        <v>1000</v>
      </c>
      <c r="C176" s="7" t="s">
        <v>1001</v>
      </c>
      <c r="D176" s="7" t="s">
        <v>1002</v>
      </c>
      <c r="E176" s="7" t="s">
        <v>1003</v>
      </c>
      <c r="F176" s="7" t="s">
        <v>76</v>
      </c>
      <c r="G176" s="7" t="s">
        <v>77</v>
      </c>
      <c r="H176" s="7" t="s">
        <v>1004</v>
      </c>
      <c r="I176" s="6" t="s">
        <v>37</v>
      </c>
      <c r="J176" s="8"/>
      <c r="K176" s="8" t="s">
        <v>79</v>
      </c>
      <c r="L176" s="9"/>
      <c r="M176" s="9"/>
      <c r="N176" s="8"/>
      <c r="O176" s="10"/>
    </row>
    <row r="177" spans="1:15" ht="39.6" x14ac:dyDescent="0.3">
      <c r="A177" s="11" t="s">
        <v>1005</v>
      </c>
      <c r="B177" s="12" t="s">
        <v>1000</v>
      </c>
      <c r="C177" s="12" t="s">
        <v>1001</v>
      </c>
      <c r="D177" s="12" t="s">
        <v>1006</v>
      </c>
      <c r="E177" s="12" t="s">
        <v>1007</v>
      </c>
      <c r="F177" s="12" t="s">
        <v>76</v>
      </c>
      <c r="G177" s="12" t="s">
        <v>1008</v>
      </c>
      <c r="H177" s="12" t="s">
        <v>1009</v>
      </c>
      <c r="I177" s="11" t="s">
        <v>37</v>
      </c>
      <c r="J177" s="8"/>
      <c r="K177" s="8" t="s">
        <v>79</v>
      </c>
      <c r="L177" s="9"/>
      <c r="M177" s="9"/>
      <c r="N177" s="8"/>
      <c r="O177" s="10"/>
    </row>
    <row r="178" spans="1:15" ht="26.4" x14ac:dyDescent="0.3">
      <c r="A178" s="6" t="s">
        <v>1010</v>
      </c>
      <c r="B178" s="7" t="s">
        <v>1000</v>
      </c>
      <c r="C178" s="7" t="s">
        <v>1001</v>
      </c>
      <c r="D178" s="7" t="s">
        <v>1011</v>
      </c>
      <c r="E178" s="7" t="s">
        <v>1012</v>
      </c>
      <c r="F178" s="7" t="s">
        <v>76</v>
      </c>
      <c r="G178" s="7" t="s">
        <v>77</v>
      </c>
      <c r="H178" s="7" t="s">
        <v>1013</v>
      </c>
      <c r="I178" s="6" t="s">
        <v>37</v>
      </c>
      <c r="J178" s="8"/>
      <c r="K178" s="8" t="s">
        <v>79</v>
      </c>
      <c r="L178" s="9"/>
      <c r="M178" s="9"/>
      <c r="N178" s="8"/>
      <c r="O178" s="10"/>
    </row>
    <row r="179" spans="1:15" ht="79.2" x14ac:dyDescent="0.3">
      <c r="A179" s="11" t="s">
        <v>1014</v>
      </c>
      <c r="B179" s="12" t="s">
        <v>1015</v>
      </c>
      <c r="C179" s="12" t="s">
        <v>1016</v>
      </c>
      <c r="D179" s="12" t="s">
        <v>1017</v>
      </c>
      <c r="E179" s="12" t="s">
        <v>1018</v>
      </c>
      <c r="F179" s="12" t="s">
        <v>575</v>
      </c>
      <c r="G179" s="12" t="s">
        <v>1019</v>
      </c>
      <c r="H179" s="12" t="s">
        <v>1020</v>
      </c>
      <c r="I179" s="11" t="s">
        <v>37</v>
      </c>
      <c r="J179" s="8"/>
      <c r="K179" s="8" t="s">
        <v>79</v>
      </c>
      <c r="L179" s="9"/>
      <c r="M179" s="9"/>
      <c r="N179" s="8"/>
      <c r="O179" s="10"/>
    </row>
    <row r="180" spans="1:15" ht="66" x14ac:dyDescent="0.3">
      <c r="A180" s="6" t="s">
        <v>1021</v>
      </c>
      <c r="B180" s="7" t="s">
        <v>1022</v>
      </c>
      <c r="C180" s="7" t="s">
        <v>1023</v>
      </c>
      <c r="D180" s="7" t="s">
        <v>1024</v>
      </c>
      <c r="E180" s="7" t="s">
        <v>1025</v>
      </c>
      <c r="F180" s="7" t="s">
        <v>48</v>
      </c>
      <c r="G180" s="7" t="s">
        <v>1026</v>
      </c>
      <c r="H180" s="7" t="s">
        <v>1027</v>
      </c>
      <c r="I180" s="6" t="s">
        <v>37</v>
      </c>
      <c r="J180" s="8"/>
      <c r="K180" s="8" t="s">
        <v>79</v>
      </c>
      <c r="L180" s="9"/>
      <c r="M180" s="9"/>
      <c r="N180" s="8"/>
      <c r="O180" s="10"/>
    </row>
    <row r="181" spans="1:15" ht="52.8" x14ac:dyDescent="0.3">
      <c r="A181" s="11" t="s">
        <v>1028</v>
      </c>
      <c r="B181" s="12" t="s">
        <v>1022</v>
      </c>
      <c r="C181" s="12" t="s">
        <v>1029</v>
      </c>
      <c r="D181" s="12" t="s">
        <v>1030</v>
      </c>
      <c r="E181" s="12" t="s">
        <v>1031</v>
      </c>
      <c r="F181" s="12" t="s">
        <v>48</v>
      </c>
      <c r="G181" s="12" t="s">
        <v>1032</v>
      </c>
      <c r="H181" s="12" t="s">
        <v>1033</v>
      </c>
      <c r="I181" s="11" t="s">
        <v>37</v>
      </c>
      <c r="J181" s="8"/>
      <c r="K181" s="8" t="s">
        <v>79</v>
      </c>
      <c r="L181" s="9"/>
      <c r="M181" s="9"/>
      <c r="N181" s="8"/>
      <c r="O181" s="10"/>
    </row>
    <row r="182" spans="1:15" ht="39.6" x14ac:dyDescent="0.3">
      <c r="A182" s="6" t="s">
        <v>1034</v>
      </c>
      <c r="B182" s="7" t="s">
        <v>1035</v>
      </c>
      <c r="C182" s="7" t="s">
        <v>1036</v>
      </c>
      <c r="D182" s="7" t="s">
        <v>1037</v>
      </c>
      <c r="E182" s="7" t="s">
        <v>1038</v>
      </c>
      <c r="F182" s="7" t="s">
        <v>1039</v>
      </c>
      <c r="G182" s="7" t="s">
        <v>1040</v>
      </c>
      <c r="H182" s="7" t="s">
        <v>1041</v>
      </c>
      <c r="I182" s="6" t="s">
        <v>37</v>
      </c>
      <c r="J182" s="8"/>
      <c r="K182" s="8" t="s">
        <v>79</v>
      </c>
      <c r="L182" s="9"/>
      <c r="M182" s="9"/>
      <c r="N182" s="8"/>
      <c r="O182" s="10"/>
    </row>
    <row r="183" spans="1:15" ht="26.4" x14ac:dyDescent="0.3">
      <c r="A183" s="11" t="s">
        <v>1042</v>
      </c>
      <c r="B183" s="12" t="s">
        <v>1035</v>
      </c>
      <c r="C183" s="12" t="s">
        <v>1043</v>
      </c>
      <c r="D183" s="12" t="s">
        <v>1044</v>
      </c>
      <c r="E183" s="12" t="s">
        <v>1045</v>
      </c>
      <c r="F183" s="12" t="s">
        <v>570</v>
      </c>
      <c r="G183" s="12" t="s">
        <v>1046</v>
      </c>
      <c r="H183" s="12" t="s">
        <v>1047</v>
      </c>
      <c r="I183" s="11" t="s">
        <v>37</v>
      </c>
      <c r="J183" s="8"/>
      <c r="K183" s="8" t="s">
        <v>79</v>
      </c>
      <c r="L183" s="9"/>
      <c r="M183" s="9"/>
      <c r="N183" s="8"/>
      <c r="O183" s="10"/>
    </row>
    <row r="184" spans="1:15" ht="26.4" x14ac:dyDescent="0.3">
      <c r="A184" s="6" t="s">
        <v>1048</v>
      </c>
      <c r="B184" s="7" t="s">
        <v>1035</v>
      </c>
      <c r="C184" s="7" t="s">
        <v>1043</v>
      </c>
      <c r="D184" s="7" t="s">
        <v>1049</v>
      </c>
      <c r="E184" s="7" t="s">
        <v>1050</v>
      </c>
      <c r="F184" s="7" t="s">
        <v>1051</v>
      </c>
      <c r="G184" s="7" t="s">
        <v>77</v>
      </c>
      <c r="H184" s="7" t="s">
        <v>1052</v>
      </c>
      <c r="I184" s="6" t="s">
        <v>37</v>
      </c>
      <c r="J184" s="8"/>
      <c r="K184" s="8" t="s">
        <v>79</v>
      </c>
      <c r="L184" s="9"/>
      <c r="M184" s="9"/>
      <c r="N184" s="8"/>
      <c r="O184" s="10"/>
    </row>
    <row r="185" spans="1:15" ht="52.8" x14ac:dyDescent="0.3">
      <c r="A185" s="11" t="s">
        <v>1053</v>
      </c>
      <c r="B185" s="12" t="s">
        <v>1035</v>
      </c>
      <c r="C185" s="12" t="s">
        <v>1054</v>
      </c>
      <c r="D185" s="12" t="s">
        <v>1055</v>
      </c>
      <c r="E185" s="12" t="s">
        <v>1056</v>
      </c>
      <c r="F185" s="12" t="s">
        <v>570</v>
      </c>
      <c r="G185" s="12" t="s">
        <v>1057</v>
      </c>
      <c r="H185" s="12" t="s">
        <v>1058</v>
      </c>
      <c r="I185" s="11" t="s">
        <v>37</v>
      </c>
      <c r="J185" s="8"/>
      <c r="K185" s="8" t="s">
        <v>79</v>
      </c>
      <c r="L185" s="9"/>
      <c r="M185" s="9"/>
      <c r="N185" s="8"/>
      <c r="O185" s="10"/>
    </row>
    <row r="186" spans="1:15" ht="66" x14ac:dyDescent="0.3">
      <c r="A186" s="6" t="s">
        <v>1059</v>
      </c>
      <c r="B186" s="7" t="s">
        <v>1035</v>
      </c>
      <c r="C186" s="7" t="s">
        <v>1054</v>
      </c>
      <c r="D186" s="7" t="s">
        <v>1060</v>
      </c>
      <c r="E186" s="7" t="s">
        <v>1061</v>
      </c>
      <c r="F186" s="7" t="s">
        <v>1062</v>
      </c>
      <c r="G186" s="7" t="s">
        <v>77</v>
      </c>
      <c r="H186" s="7" t="s">
        <v>1063</v>
      </c>
      <c r="I186" s="6" t="s">
        <v>37</v>
      </c>
      <c r="J186" s="8"/>
      <c r="K186" s="8" t="s">
        <v>79</v>
      </c>
      <c r="L186" s="9"/>
      <c r="M186" s="9"/>
      <c r="N186" s="8"/>
      <c r="O186" s="10"/>
    </row>
    <row r="187" spans="1:15" ht="52.8" x14ac:dyDescent="0.3">
      <c r="A187" s="11" t="s">
        <v>1064</v>
      </c>
      <c r="B187" s="12" t="s">
        <v>1035</v>
      </c>
      <c r="C187" s="12" t="s">
        <v>896</v>
      </c>
      <c r="D187" s="12" t="s">
        <v>1065</v>
      </c>
      <c r="E187" s="12" t="s">
        <v>1066</v>
      </c>
      <c r="F187" s="12" t="s">
        <v>1062</v>
      </c>
      <c r="G187" s="12" t="s">
        <v>1067</v>
      </c>
      <c r="H187" s="12" t="s">
        <v>1068</v>
      </c>
      <c r="I187" s="11" t="s">
        <v>37</v>
      </c>
      <c r="J187" s="8"/>
      <c r="K187" s="8" t="s">
        <v>79</v>
      </c>
      <c r="L187" s="9"/>
      <c r="M187" s="9"/>
      <c r="N187" s="8"/>
      <c r="O187" s="10"/>
    </row>
    <row r="188" spans="1:15" ht="26.4" x14ac:dyDescent="0.3">
      <c r="A188" s="6" t="s">
        <v>1069</v>
      </c>
      <c r="B188" s="7" t="s">
        <v>1035</v>
      </c>
      <c r="C188" s="7" t="s">
        <v>1070</v>
      </c>
      <c r="D188" s="7" t="s">
        <v>1071</v>
      </c>
      <c r="E188" s="7" t="s">
        <v>1072</v>
      </c>
      <c r="F188" s="7" t="s">
        <v>1062</v>
      </c>
      <c r="G188" s="7" t="s">
        <v>1073</v>
      </c>
      <c r="H188" s="7" t="s">
        <v>1074</v>
      </c>
      <c r="I188" s="6" t="s">
        <v>37</v>
      </c>
      <c r="J188" s="8"/>
      <c r="K188" s="8" t="s">
        <v>79</v>
      </c>
      <c r="L188" s="9"/>
      <c r="M188" s="9"/>
      <c r="N188" s="8"/>
      <c r="O188" s="10"/>
    </row>
    <row r="189" spans="1:15" ht="39.6" x14ac:dyDescent="0.3">
      <c r="A189" s="11" t="s">
        <v>1075</v>
      </c>
      <c r="B189" s="12" t="s">
        <v>1035</v>
      </c>
      <c r="C189" s="12" t="s">
        <v>1070</v>
      </c>
      <c r="D189" s="12" t="s">
        <v>1076</v>
      </c>
      <c r="E189" s="12" t="s">
        <v>1077</v>
      </c>
      <c r="F189" s="12" t="s">
        <v>1062</v>
      </c>
      <c r="G189" s="12" t="s">
        <v>77</v>
      </c>
      <c r="H189" s="12" t="s">
        <v>1078</v>
      </c>
      <c r="I189" s="11" t="s">
        <v>37</v>
      </c>
      <c r="J189" s="8"/>
      <c r="K189" s="8" t="s">
        <v>79</v>
      </c>
      <c r="L189" s="9"/>
      <c r="M189" s="9"/>
      <c r="N189" s="8"/>
      <c r="O189" s="10"/>
    </row>
    <row r="190" spans="1:15" ht="39.6" x14ac:dyDescent="0.3">
      <c r="A190" s="6" t="s">
        <v>1079</v>
      </c>
      <c r="B190" s="7" t="s">
        <v>1035</v>
      </c>
      <c r="C190" s="7" t="s">
        <v>1070</v>
      </c>
      <c r="D190" s="7" t="s">
        <v>1080</v>
      </c>
      <c r="E190" s="7" t="s">
        <v>1081</v>
      </c>
      <c r="F190" s="7" t="s">
        <v>1062</v>
      </c>
      <c r="G190" s="7" t="s">
        <v>1082</v>
      </c>
      <c r="H190" s="7" t="s">
        <v>1083</v>
      </c>
      <c r="I190" s="6" t="s">
        <v>37</v>
      </c>
      <c r="J190" s="8"/>
      <c r="K190" s="8" t="s">
        <v>79</v>
      </c>
      <c r="L190" s="9"/>
      <c r="M190" s="9"/>
      <c r="N190" s="8"/>
      <c r="O190" s="10"/>
    </row>
    <row r="191" spans="1:15" ht="26.4" x14ac:dyDescent="0.3">
      <c r="A191" s="11" t="s">
        <v>1084</v>
      </c>
      <c r="B191" s="12" t="s">
        <v>1035</v>
      </c>
      <c r="C191" s="12" t="s">
        <v>1070</v>
      </c>
      <c r="D191" s="12" t="s">
        <v>1085</v>
      </c>
      <c r="E191" s="12" t="s">
        <v>1086</v>
      </c>
      <c r="F191" s="12" t="s">
        <v>1062</v>
      </c>
      <c r="G191" s="12" t="s">
        <v>77</v>
      </c>
      <c r="H191" s="12" t="s">
        <v>1087</v>
      </c>
      <c r="I191" s="11" t="s">
        <v>37</v>
      </c>
      <c r="J191" s="8"/>
      <c r="K191" s="8" t="s">
        <v>79</v>
      </c>
      <c r="L191" s="9"/>
      <c r="M191" s="9"/>
      <c r="N191" s="8"/>
      <c r="O191" s="10"/>
    </row>
    <row r="192" spans="1:15" ht="26.4" x14ac:dyDescent="0.3">
      <c r="A192" s="6" t="s">
        <v>1088</v>
      </c>
      <c r="B192" s="7" t="s">
        <v>1035</v>
      </c>
      <c r="C192" s="7" t="s">
        <v>1070</v>
      </c>
      <c r="D192" s="7" t="s">
        <v>1089</v>
      </c>
      <c r="E192" s="7" t="s">
        <v>1090</v>
      </c>
      <c r="F192" s="7" t="s">
        <v>1062</v>
      </c>
      <c r="G192" s="7" t="s">
        <v>77</v>
      </c>
      <c r="H192" s="7" t="s">
        <v>1091</v>
      </c>
      <c r="I192" s="6" t="s">
        <v>37</v>
      </c>
      <c r="J192" s="8"/>
      <c r="K192" s="8" t="s">
        <v>79</v>
      </c>
      <c r="L192" s="9"/>
      <c r="M192" s="9"/>
      <c r="N192" s="8"/>
      <c r="O192" s="10"/>
    </row>
    <row r="193" spans="1:15" ht="26.4" x14ac:dyDescent="0.3">
      <c r="A193" s="11" t="s">
        <v>1092</v>
      </c>
      <c r="B193" s="12" t="s">
        <v>1035</v>
      </c>
      <c r="C193" s="12" t="s">
        <v>1093</v>
      </c>
      <c r="D193" s="12" t="s">
        <v>1094</v>
      </c>
      <c r="E193" s="12" t="s">
        <v>1095</v>
      </c>
      <c r="F193" s="12" t="s">
        <v>550</v>
      </c>
      <c r="G193" s="12" t="s">
        <v>77</v>
      </c>
      <c r="H193" s="12" t="s">
        <v>1096</v>
      </c>
      <c r="I193" s="11" t="s">
        <v>37</v>
      </c>
      <c r="J193" s="8"/>
      <c r="K193" s="8" t="s">
        <v>79</v>
      </c>
      <c r="L193" s="9"/>
      <c r="M193" s="9"/>
      <c r="N193" s="8"/>
      <c r="O193" s="10"/>
    </row>
    <row r="194" spans="1:15" ht="39.6" x14ac:dyDescent="0.3">
      <c r="A194" s="6" t="s">
        <v>1097</v>
      </c>
      <c r="B194" s="7" t="s">
        <v>1035</v>
      </c>
      <c r="C194" s="7" t="s">
        <v>1098</v>
      </c>
      <c r="D194" s="7" t="s">
        <v>1099</v>
      </c>
      <c r="E194" s="7" t="s">
        <v>1100</v>
      </c>
      <c r="F194" s="7" t="s">
        <v>1062</v>
      </c>
      <c r="G194" s="7" t="s">
        <v>1101</v>
      </c>
      <c r="H194" s="7" t="s">
        <v>1102</v>
      </c>
      <c r="I194" s="6" t="s">
        <v>37</v>
      </c>
      <c r="J194" s="8"/>
      <c r="K194" s="8" t="s">
        <v>79</v>
      </c>
      <c r="L194" s="9"/>
      <c r="M194" s="9"/>
      <c r="N194" s="8"/>
      <c r="O194" s="10"/>
    </row>
    <row r="195" spans="1:15" ht="52.8" x14ac:dyDescent="0.3">
      <c r="A195" s="11" t="s">
        <v>1103</v>
      </c>
      <c r="B195" s="12" t="s">
        <v>1035</v>
      </c>
      <c r="C195" s="12" t="s">
        <v>1098</v>
      </c>
      <c r="D195" s="12" t="s">
        <v>1104</v>
      </c>
      <c r="E195" s="12" t="s">
        <v>1105</v>
      </c>
      <c r="F195" s="12" t="s">
        <v>1062</v>
      </c>
      <c r="G195" s="12" t="s">
        <v>1106</v>
      </c>
      <c r="H195" s="12" t="s">
        <v>1107</v>
      </c>
      <c r="I195" s="11" t="s">
        <v>37</v>
      </c>
      <c r="J195" s="8"/>
      <c r="K195" s="8" t="s">
        <v>79</v>
      </c>
      <c r="L195" s="9"/>
      <c r="M195" s="9"/>
      <c r="N195" s="8"/>
      <c r="O195" s="10"/>
    </row>
    <row r="196" spans="1:15" ht="39.6" x14ac:dyDescent="0.3">
      <c r="A196" s="6" t="s">
        <v>1108</v>
      </c>
      <c r="B196" s="7" t="s">
        <v>1035</v>
      </c>
      <c r="C196" s="7" t="s">
        <v>1098</v>
      </c>
      <c r="D196" s="7" t="s">
        <v>1109</v>
      </c>
      <c r="E196" s="7" t="s">
        <v>1110</v>
      </c>
      <c r="F196" s="7" t="s">
        <v>1062</v>
      </c>
      <c r="G196" s="7" t="s">
        <v>77</v>
      </c>
      <c r="H196" s="7" t="s">
        <v>1111</v>
      </c>
      <c r="I196" s="6" t="s">
        <v>37</v>
      </c>
      <c r="J196" s="8"/>
      <c r="K196" s="8" t="s">
        <v>79</v>
      </c>
      <c r="L196" s="9"/>
      <c r="M196" s="9"/>
      <c r="N196" s="8"/>
      <c r="O196" s="10"/>
    </row>
    <row r="197" spans="1:15" ht="26.4" x14ac:dyDescent="0.3">
      <c r="A197" s="11" t="s">
        <v>1112</v>
      </c>
      <c r="B197" s="12" t="s">
        <v>1035</v>
      </c>
      <c r="C197" s="12" t="s">
        <v>1098</v>
      </c>
      <c r="D197" s="12" t="s">
        <v>1113</v>
      </c>
      <c r="E197" s="12" t="s">
        <v>1114</v>
      </c>
      <c r="F197" s="12" t="s">
        <v>1062</v>
      </c>
      <c r="G197" s="12" t="s">
        <v>77</v>
      </c>
      <c r="H197" s="12" t="s">
        <v>1115</v>
      </c>
      <c r="I197" s="11" t="s">
        <v>37</v>
      </c>
      <c r="J197" s="8"/>
      <c r="K197" s="8" t="s">
        <v>79</v>
      </c>
      <c r="L197" s="9"/>
      <c r="M197" s="9"/>
      <c r="N197" s="8"/>
      <c r="O197" s="10"/>
    </row>
    <row r="198" spans="1:15" ht="26.4" x14ac:dyDescent="0.3">
      <c r="A198" s="6" t="s">
        <v>1116</v>
      </c>
      <c r="B198" s="7" t="s">
        <v>1035</v>
      </c>
      <c r="C198" s="7" t="s">
        <v>1098</v>
      </c>
      <c r="D198" s="7" t="s">
        <v>1117</v>
      </c>
      <c r="E198" s="7" t="s">
        <v>1118</v>
      </c>
      <c r="F198" s="7" t="s">
        <v>1062</v>
      </c>
      <c r="G198" s="7" t="s">
        <v>77</v>
      </c>
      <c r="H198" s="7" t="s">
        <v>1119</v>
      </c>
      <c r="I198" s="6" t="s">
        <v>37</v>
      </c>
      <c r="J198" s="8"/>
      <c r="K198" s="8" t="s">
        <v>79</v>
      </c>
      <c r="L198" s="9"/>
      <c r="M198" s="9"/>
      <c r="N198" s="8"/>
      <c r="O198" s="10"/>
    </row>
    <row r="199" spans="1:15" ht="52.8" x14ac:dyDescent="0.3">
      <c r="A199" s="11" t="s">
        <v>1120</v>
      </c>
      <c r="B199" s="12" t="s">
        <v>1035</v>
      </c>
      <c r="C199" s="12" t="s">
        <v>1098</v>
      </c>
      <c r="D199" s="12" t="s">
        <v>1121</v>
      </c>
      <c r="E199" s="12" t="s">
        <v>1122</v>
      </c>
      <c r="F199" s="12" t="s">
        <v>1062</v>
      </c>
      <c r="G199" s="12" t="s">
        <v>77</v>
      </c>
      <c r="H199" s="12" t="s">
        <v>1123</v>
      </c>
      <c r="I199" s="11" t="s">
        <v>37</v>
      </c>
      <c r="J199" s="8"/>
      <c r="K199" s="8" t="s">
        <v>79</v>
      </c>
      <c r="L199" s="9"/>
      <c r="M199" s="9"/>
      <c r="N199" s="8"/>
      <c r="O199" s="10"/>
    </row>
    <row r="200" spans="1:15" ht="26.4" x14ac:dyDescent="0.3">
      <c r="A200" s="6" t="s">
        <v>1124</v>
      </c>
      <c r="B200" s="7" t="s">
        <v>1035</v>
      </c>
      <c r="C200" s="7" t="s">
        <v>1098</v>
      </c>
      <c r="D200" s="7" t="s">
        <v>1125</v>
      </c>
      <c r="E200" s="7" t="s">
        <v>1126</v>
      </c>
      <c r="F200" s="7" t="s">
        <v>1062</v>
      </c>
      <c r="G200" s="7" t="s">
        <v>1106</v>
      </c>
      <c r="H200" s="7" t="s">
        <v>1127</v>
      </c>
      <c r="I200" s="6" t="s">
        <v>37</v>
      </c>
      <c r="J200" s="8"/>
      <c r="K200" s="8" t="s">
        <v>79</v>
      </c>
      <c r="L200" s="9"/>
      <c r="M200" s="9"/>
      <c r="N200" s="8"/>
      <c r="O200" s="10"/>
    </row>
    <row r="201" spans="1:15" ht="79.2" x14ac:dyDescent="0.3">
      <c r="A201" s="11" t="s">
        <v>1128</v>
      </c>
      <c r="B201" s="12" t="s">
        <v>1035</v>
      </c>
      <c r="C201" s="12" t="s">
        <v>1129</v>
      </c>
      <c r="D201" s="12" t="s">
        <v>1130</v>
      </c>
      <c r="E201" s="12" t="s">
        <v>1131</v>
      </c>
      <c r="F201" s="12" t="s">
        <v>1062</v>
      </c>
      <c r="G201" s="12" t="s">
        <v>1132</v>
      </c>
      <c r="H201" s="12" t="s">
        <v>1133</v>
      </c>
      <c r="I201" s="11" t="s">
        <v>37</v>
      </c>
      <c r="J201" s="8"/>
      <c r="K201" s="8" t="s">
        <v>79</v>
      </c>
      <c r="L201" s="9"/>
      <c r="M201" s="9"/>
      <c r="N201" s="8"/>
      <c r="O201" s="10"/>
    </row>
    <row r="202" spans="1:15" ht="26.4" x14ac:dyDescent="0.3">
      <c r="A202" s="6" t="s">
        <v>1134</v>
      </c>
      <c r="B202" s="7" t="s">
        <v>1035</v>
      </c>
      <c r="C202" s="7" t="s">
        <v>1129</v>
      </c>
      <c r="D202" s="7" t="s">
        <v>1135</v>
      </c>
      <c r="E202" s="7" t="s">
        <v>1136</v>
      </c>
      <c r="F202" s="7" t="s">
        <v>1062</v>
      </c>
      <c r="G202" s="7" t="s">
        <v>1137</v>
      </c>
      <c r="H202" s="7" t="s">
        <v>1138</v>
      </c>
      <c r="I202" s="6" t="s">
        <v>37</v>
      </c>
      <c r="J202" s="8"/>
      <c r="K202" s="8" t="s">
        <v>79</v>
      </c>
      <c r="L202" s="9"/>
      <c r="M202" s="9"/>
      <c r="N202" s="8"/>
      <c r="O202" s="10"/>
    </row>
    <row r="203" spans="1:15" ht="39.6" x14ac:dyDescent="0.3">
      <c r="A203" s="11" t="s">
        <v>1139</v>
      </c>
      <c r="B203" s="12" t="s">
        <v>1035</v>
      </c>
      <c r="C203" s="12" t="s">
        <v>1129</v>
      </c>
      <c r="D203" s="12" t="s">
        <v>1140</v>
      </c>
      <c r="E203" s="12" t="s">
        <v>1141</v>
      </c>
      <c r="F203" s="12" t="s">
        <v>1062</v>
      </c>
      <c r="G203" s="12" t="s">
        <v>1137</v>
      </c>
      <c r="H203" s="12" t="s">
        <v>1142</v>
      </c>
      <c r="I203" s="11" t="s">
        <v>37</v>
      </c>
      <c r="J203" s="8"/>
      <c r="K203" s="8" t="s">
        <v>79</v>
      </c>
      <c r="L203" s="9"/>
      <c r="M203" s="9"/>
      <c r="N203" s="8"/>
      <c r="O203" s="10"/>
    </row>
    <row r="204" spans="1:15" ht="39.6" x14ac:dyDescent="0.3">
      <c r="A204" s="6" t="s">
        <v>1143</v>
      </c>
      <c r="B204" s="7" t="s">
        <v>1035</v>
      </c>
      <c r="C204" s="7" t="s">
        <v>1144</v>
      </c>
      <c r="D204" s="7" t="s">
        <v>1145</v>
      </c>
      <c r="E204" s="7" t="s">
        <v>1146</v>
      </c>
      <c r="F204" s="7" t="s">
        <v>1062</v>
      </c>
      <c r="G204" s="7" t="s">
        <v>77</v>
      </c>
      <c r="H204" s="7" t="s">
        <v>1147</v>
      </c>
      <c r="I204" s="6" t="s">
        <v>37</v>
      </c>
      <c r="J204" s="8"/>
      <c r="K204" s="8" t="s">
        <v>79</v>
      </c>
      <c r="L204" s="9"/>
      <c r="M204" s="9"/>
      <c r="N204" s="8"/>
      <c r="O204" s="10"/>
    </row>
    <row r="205" spans="1:15" ht="26.4" x14ac:dyDescent="0.3">
      <c r="A205" s="11" t="s">
        <v>1148</v>
      </c>
      <c r="B205" s="12" t="s">
        <v>1035</v>
      </c>
      <c r="C205" s="12" t="s">
        <v>1144</v>
      </c>
      <c r="D205" s="12" t="s">
        <v>1149</v>
      </c>
      <c r="E205" s="12" t="s">
        <v>1150</v>
      </c>
      <c r="F205" s="12" t="s">
        <v>1062</v>
      </c>
      <c r="G205" s="12" t="s">
        <v>77</v>
      </c>
      <c r="H205" s="12" t="s">
        <v>1151</v>
      </c>
      <c r="I205" s="11" t="s">
        <v>37</v>
      </c>
      <c r="J205" s="8"/>
      <c r="K205" s="8" t="s">
        <v>79</v>
      </c>
      <c r="L205" s="9"/>
      <c r="M205" s="9"/>
      <c r="N205" s="8"/>
      <c r="O205" s="10"/>
    </row>
    <row r="206" spans="1:15" ht="52.8" x14ac:dyDescent="0.3">
      <c r="A206" s="6" t="s">
        <v>1152</v>
      </c>
      <c r="B206" s="7" t="s">
        <v>1035</v>
      </c>
      <c r="C206" s="7" t="s">
        <v>1153</v>
      </c>
      <c r="D206" s="7" t="s">
        <v>1154</v>
      </c>
      <c r="E206" s="7" t="s">
        <v>1155</v>
      </c>
      <c r="F206" s="7" t="s">
        <v>1062</v>
      </c>
      <c r="G206" s="7" t="s">
        <v>1156</v>
      </c>
      <c r="H206" s="7" t="s">
        <v>1157</v>
      </c>
      <c r="I206" s="6" t="s">
        <v>37</v>
      </c>
      <c r="J206" s="8"/>
      <c r="K206" s="8" t="s">
        <v>79</v>
      </c>
      <c r="L206" s="9"/>
      <c r="M206" s="9"/>
      <c r="N206" s="8"/>
      <c r="O206" s="10"/>
    </row>
    <row r="207" spans="1:15" ht="52.8" x14ac:dyDescent="0.3">
      <c r="A207" s="11" t="s">
        <v>1158</v>
      </c>
      <c r="B207" s="12" t="s">
        <v>1035</v>
      </c>
      <c r="C207" s="12" t="s">
        <v>1159</v>
      </c>
      <c r="D207" s="12" t="s">
        <v>1160</v>
      </c>
      <c r="E207" s="12" t="s">
        <v>1161</v>
      </c>
      <c r="F207" s="12" t="s">
        <v>1062</v>
      </c>
      <c r="G207" s="12" t="s">
        <v>77</v>
      </c>
      <c r="H207" s="12" t="s">
        <v>1162</v>
      </c>
      <c r="I207" s="11" t="s">
        <v>37</v>
      </c>
      <c r="J207" s="8"/>
      <c r="K207" s="8" t="s">
        <v>79</v>
      </c>
      <c r="L207" s="9"/>
      <c r="M207" s="9"/>
      <c r="N207" s="8"/>
      <c r="O207" s="10"/>
    </row>
    <row r="208" spans="1:15" ht="79.2" x14ac:dyDescent="0.3">
      <c r="A208" s="6" t="s">
        <v>1163</v>
      </c>
      <c r="B208" s="7" t="s">
        <v>1035</v>
      </c>
      <c r="C208" s="7" t="s">
        <v>1159</v>
      </c>
      <c r="D208" s="7" t="s">
        <v>1164</v>
      </c>
      <c r="E208" s="7" t="s">
        <v>1165</v>
      </c>
      <c r="F208" s="7" t="s">
        <v>1062</v>
      </c>
      <c r="G208" s="7" t="s">
        <v>77</v>
      </c>
      <c r="H208" s="7" t="s">
        <v>1166</v>
      </c>
      <c r="I208" s="6" t="s">
        <v>37</v>
      </c>
      <c r="J208" s="8"/>
      <c r="K208" s="8" t="s">
        <v>79</v>
      </c>
      <c r="L208" s="9"/>
      <c r="M208" s="9"/>
      <c r="N208" s="8"/>
      <c r="O208" s="10"/>
    </row>
    <row r="209" spans="1:15" ht="26.4" x14ac:dyDescent="0.3">
      <c r="A209" s="11" t="s">
        <v>1167</v>
      </c>
      <c r="B209" s="12" t="s">
        <v>1035</v>
      </c>
      <c r="C209" s="12" t="s">
        <v>1159</v>
      </c>
      <c r="D209" s="12" t="s">
        <v>1168</v>
      </c>
      <c r="E209" s="12" t="s">
        <v>1169</v>
      </c>
      <c r="F209" s="12" t="s">
        <v>1062</v>
      </c>
      <c r="G209" s="12" t="s">
        <v>77</v>
      </c>
      <c r="H209" s="12" t="s">
        <v>1170</v>
      </c>
      <c r="I209" s="11" t="s">
        <v>37</v>
      </c>
      <c r="J209" s="8"/>
      <c r="K209" s="8" t="s">
        <v>79</v>
      </c>
      <c r="L209" s="9"/>
      <c r="M209" s="9"/>
      <c r="N209" s="8"/>
      <c r="O209" s="10"/>
    </row>
    <row r="210" spans="1:15" ht="39.6" x14ac:dyDescent="0.3">
      <c r="A210" s="6" t="s">
        <v>1171</v>
      </c>
      <c r="B210" s="7" t="s">
        <v>1035</v>
      </c>
      <c r="C210" s="7" t="s">
        <v>1172</v>
      </c>
      <c r="D210" s="7" t="s">
        <v>1173</v>
      </c>
      <c r="E210" s="7" t="s">
        <v>1174</v>
      </c>
      <c r="F210" s="7" t="s">
        <v>1062</v>
      </c>
      <c r="G210" s="7" t="s">
        <v>1106</v>
      </c>
      <c r="H210" s="7" t="s">
        <v>1175</v>
      </c>
      <c r="I210" s="6" t="s">
        <v>37</v>
      </c>
      <c r="J210" s="8"/>
      <c r="K210" s="8" t="s">
        <v>79</v>
      </c>
      <c r="L210" s="9"/>
      <c r="M210" s="9"/>
      <c r="N210" s="8"/>
      <c r="O210" s="10"/>
    </row>
    <row r="211" spans="1:15" ht="52.8" x14ac:dyDescent="0.3">
      <c r="A211" s="11" t="s">
        <v>1176</v>
      </c>
      <c r="B211" s="12" t="s">
        <v>1035</v>
      </c>
      <c r="C211" s="12" t="s">
        <v>1177</v>
      </c>
      <c r="D211" s="12" t="s">
        <v>1178</v>
      </c>
      <c r="E211" s="12" t="s">
        <v>1179</v>
      </c>
      <c r="F211" s="12" t="s">
        <v>1062</v>
      </c>
      <c r="G211" s="12" t="s">
        <v>1180</v>
      </c>
      <c r="H211" s="12" t="s">
        <v>1181</v>
      </c>
      <c r="I211" s="11" t="s">
        <v>37</v>
      </c>
      <c r="J211" s="8"/>
      <c r="K211" s="8" t="s">
        <v>79</v>
      </c>
      <c r="L211" s="9"/>
      <c r="M211" s="9"/>
      <c r="N211" s="8"/>
      <c r="O211" s="10"/>
    </row>
    <row r="212" spans="1:15" ht="52.8" x14ac:dyDescent="0.3">
      <c r="A212" s="6" t="s">
        <v>1182</v>
      </c>
      <c r="B212" s="7" t="s">
        <v>1035</v>
      </c>
      <c r="C212" s="7" t="s">
        <v>1177</v>
      </c>
      <c r="D212" s="7" t="s">
        <v>1183</v>
      </c>
      <c r="E212" s="7" t="s">
        <v>1184</v>
      </c>
      <c r="F212" s="7" t="s">
        <v>1062</v>
      </c>
      <c r="G212" s="7" t="s">
        <v>77</v>
      </c>
      <c r="H212" s="7" t="s">
        <v>1185</v>
      </c>
      <c r="I212" s="6" t="s">
        <v>37</v>
      </c>
      <c r="J212" s="8"/>
      <c r="K212" s="8" t="s">
        <v>79</v>
      </c>
      <c r="L212" s="9"/>
      <c r="M212" s="9"/>
      <c r="N212" s="8"/>
      <c r="O212" s="10"/>
    </row>
    <row r="213" spans="1:15" ht="52.8" x14ac:dyDescent="0.3">
      <c r="A213" s="11" t="s">
        <v>1186</v>
      </c>
      <c r="B213" s="12" t="s">
        <v>1035</v>
      </c>
      <c r="C213" s="12" t="s">
        <v>1177</v>
      </c>
      <c r="D213" s="12" t="s">
        <v>1187</v>
      </c>
      <c r="E213" s="12" t="s">
        <v>1188</v>
      </c>
      <c r="F213" s="12" t="s">
        <v>1062</v>
      </c>
      <c r="G213" s="12" t="s">
        <v>1189</v>
      </c>
      <c r="H213" s="12" t="s">
        <v>1190</v>
      </c>
      <c r="I213" s="11" t="s">
        <v>37</v>
      </c>
      <c r="J213" s="8"/>
      <c r="K213" s="8" t="s">
        <v>79</v>
      </c>
      <c r="L213" s="9"/>
      <c r="M213" s="9"/>
      <c r="N213" s="8"/>
      <c r="O213" s="10"/>
    </row>
    <row r="214" spans="1:15" ht="26.4" x14ac:dyDescent="0.3">
      <c r="A214" s="6" t="s">
        <v>1191</v>
      </c>
      <c r="B214" s="7" t="s">
        <v>1035</v>
      </c>
      <c r="C214" s="7" t="s">
        <v>1177</v>
      </c>
      <c r="D214" s="7" t="s">
        <v>1192</v>
      </c>
      <c r="E214" s="7" t="s">
        <v>1193</v>
      </c>
      <c r="F214" s="7" t="s">
        <v>1062</v>
      </c>
      <c r="G214" s="7" t="s">
        <v>77</v>
      </c>
      <c r="H214" s="7" t="s">
        <v>1194</v>
      </c>
      <c r="I214" s="6" t="s">
        <v>37</v>
      </c>
      <c r="J214" s="8"/>
      <c r="K214" s="8" t="s">
        <v>79</v>
      </c>
      <c r="L214" s="9"/>
      <c r="M214" s="9"/>
      <c r="N214" s="8"/>
      <c r="O214" s="10"/>
    </row>
    <row r="215" spans="1:15" ht="39.6" x14ac:dyDescent="0.3">
      <c r="A215" s="11" t="s">
        <v>1195</v>
      </c>
      <c r="B215" s="12" t="s">
        <v>1035</v>
      </c>
      <c r="C215" s="12" t="s">
        <v>1196</v>
      </c>
      <c r="D215" s="12" t="s">
        <v>1197</v>
      </c>
      <c r="E215" s="12" t="s">
        <v>1198</v>
      </c>
      <c r="F215" s="12" t="s">
        <v>1062</v>
      </c>
      <c r="G215" s="12" t="s">
        <v>1199</v>
      </c>
      <c r="H215" s="12" t="s">
        <v>1200</v>
      </c>
      <c r="I215" s="11" t="s">
        <v>37</v>
      </c>
      <c r="J215" s="8"/>
      <c r="K215" s="8" t="s">
        <v>79</v>
      </c>
      <c r="L215" s="9"/>
      <c r="M215" s="9"/>
      <c r="N215" s="8"/>
      <c r="O215" s="10"/>
    </row>
    <row r="216" spans="1:15" ht="66" x14ac:dyDescent="0.3">
      <c r="A216" s="6" t="s">
        <v>1201</v>
      </c>
      <c r="B216" s="7" t="s">
        <v>1035</v>
      </c>
      <c r="C216" s="7" t="s">
        <v>1202</v>
      </c>
      <c r="D216" s="7" t="s">
        <v>1203</v>
      </c>
      <c r="E216" s="7" t="s">
        <v>1204</v>
      </c>
      <c r="F216" s="7" t="s">
        <v>1062</v>
      </c>
      <c r="G216" s="7" t="s">
        <v>1205</v>
      </c>
      <c r="H216" s="7" t="s">
        <v>1206</v>
      </c>
      <c r="I216" s="6" t="s">
        <v>37</v>
      </c>
      <c r="J216" s="8"/>
      <c r="K216" s="8" t="s">
        <v>79</v>
      </c>
      <c r="L216" s="9"/>
      <c r="M216" s="9"/>
      <c r="N216" s="8"/>
      <c r="O216" s="10"/>
    </row>
    <row r="217" spans="1:15" ht="26.4" x14ac:dyDescent="0.3">
      <c r="A217" s="11" t="s">
        <v>1207</v>
      </c>
      <c r="B217" s="12" t="s">
        <v>1035</v>
      </c>
      <c r="C217" s="12" t="s">
        <v>1202</v>
      </c>
      <c r="D217" s="12" t="s">
        <v>1208</v>
      </c>
      <c r="E217" s="12" t="s">
        <v>1209</v>
      </c>
      <c r="F217" s="12" t="s">
        <v>1062</v>
      </c>
      <c r="G217" s="12" t="s">
        <v>77</v>
      </c>
      <c r="H217" s="12" t="s">
        <v>1210</v>
      </c>
      <c r="I217" s="11" t="s">
        <v>37</v>
      </c>
      <c r="J217" s="8"/>
      <c r="K217" s="8" t="s">
        <v>79</v>
      </c>
      <c r="L217" s="9"/>
      <c r="M217" s="9"/>
      <c r="N217" s="8"/>
      <c r="O217" s="10"/>
    </row>
    <row r="218" spans="1:15" ht="39.6" x14ac:dyDescent="0.3">
      <c r="A218" s="6" t="s">
        <v>1211</v>
      </c>
      <c r="B218" s="7" t="s">
        <v>1035</v>
      </c>
      <c r="C218" s="7" t="s">
        <v>1212</v>
      </c>
      <c r="D218" s="7" t="s">
        <v>1213</v>
      </c>
      <c r="E218" s="7" t="s">
        <v>1214</v>
      </c>
      <c r="F218" s="7" t="s">
        <v>570</v>
      </c>
      <c r="G218" s="7" t="s">
        <v>1215</v>
      </c>
      <c r="H218" s="7" t="s">
        <v>1216</v>
      </c>
      <c r="I218" s="6" t="s">
        <v>37</v>
      </c>
      <c r="J218" s="8"/>
      <c r="K218" s="8" t="s">
        <v>79</v>
      </c>
      <c r="L218" s="9"/>
      <c r="M218" s="9"/>
      <c r="N218" s="8"/>
      <c r="O218" s="10"/>
    </row>
    <row r="219" spans="1:15" ht="26.4" x14ac:dyDescent="0.3">
      <c r="A219" s="11" t="s">
        <v>1217</v>
      </c>
      <c r="B219" s="12" t="s">
        <v>1035</v>
      </c>
      <c r="C219" s="12" t="s">
        <v>1218</v>
      </c>
      <c r="D219" s="12" t="s">
        <v>1219</v>
      </c>
      <c r="E219" s="12" t="s">
        <v>1220</v>
      </c>
      <c r="F219" s="12" t="s">
        <v>1062</v>
      </c>
      <c r="G219" s="12" t="s">
        <v>77</v>
      </c>
      <c r="H219" s="12" t="s">
        <v>1221</v>
      </c>
      <c r="I219" s="11" t="s">
        <v>37</v>
      </c>
      <c r="J219" s="8"/>
      <c r="K219" s="8" t="s">
        <v>79</v>
      </c>
      <c r="L219" s="9"/>
      <c r="M219" s="9"/>
      <c r="N219" s="8"/>
      <c r="O219" s="10"/>
    </row>
    <row r="220" spans="1:15" ht="39.6" x14ac:dyDescent="0.3">
      <c r="A220" s="6" t="s">
        <v>1222</v>
      </c>
      <c r="B220" s="7" t="s">
        <v>1035</v>
      </c>
      <c r="C220" s="7" t="s">
        <v>1218</v>
      </c>
      <c r="D220" s="7" t="s">
        <v>1223</v>
      </c>
      <c r="E220" s="7" t="s">
        <v>1224</v>
      </c>
      <c r="F220" s="7" t="s">
        <v>1225</v>
      </c>
      <c r="G220" s="7" t="s">
        <v>77</v>
      </c>
      <c r="H220" s="7" t="s">
        <v>1226</v>
      </c>
      <c r="I220" s="6" t="s">
        <v>37</v>
      </c>
      <c r="J220" s="8"/>
      <c r="K220" s="8" t="s">
        <v>79</v>
      </c>
      <c r="L220" s="9"/>
      <c r="M220" s="9"/>
      <c r="N220" s="8"/>
      <c r="O220" s="10"/>
    </row>
    <row r="221" spans="1:15" ht="52.8" x14ac:dyDescent="0.3">
      <c r="A221" s="11" t="s">
        <v>1227</v>
      </c>
      <c r="B221" s="12" t="s">
        <v>1035</v>
      </c>
      <c r="C221" s="12" t="s">
        <v>1218</v>
      </c>
      <c r="D221" s="12" t="s">
        <v>1228</v>
      </c>
      <c r="E221" s="12" t="s">
        <v>1229</v>
      </c>
      <c r="F221" s="12" t="s">
        <v>1225</v>
      </c>
      <c r="G221" s="12" t="s">
        <v>1230</v>
      </c>
      <c r="H221" s="12" t="s">
        <v>1231</v>
      </c>
      <c r="I221" s="11" t="s">
        <v>37</v>
      </c>
      <c r="J221" s="8"/>
      <c r="K221" s="8" t="s">
        <v>79</v>
      </c>
      <c r="L221" s="9"/>
      <c r="M221" s="9"/>
      <c r="N221" s="8"/>
      <c r="O221" s="10"/>
    </row>
    <row r="222" spans="1:15" ht="39.6" x14ac:dyDescent="0.3">
      <c r="A222" s="6" t="s">
        <v>1232</v>
      </c>
      <c r="B222" s="7" t="s">
        <v>1035</v>
      </c>
      <c r="C222" s="7" t="s">
        <v>1218</v>
      </c>
      <c r="D222" s="7" t="s">
        <v>1233</v>
      </c>
      <c r="E222" s="7" t="s">
        <v>1234</v>
      </c>
      <c r="F222" s="7" t="s">
        <v>1062</v>
      </c>
      <c r="G222" s="7" t="s">
        <v>1235</v>
      </c>
      <c r="H222" s="7" t="s">
        <v>1236</v>
      </c>
      <c r="I222" s="6" t="s">
        <v>37</v>
      </c>
      <c r="J222" s="8"/>
      <c r="K222" s="8" t="s">
        <v>79</v>
      </c>
      <c r="L222" s="9"/>
      <c r="M222" s="9"/>
      <c r="N222" s="8"/>
      <c r="O222" s="10"/>
    </row>
    <row r="223" spans="1:15" ht="39.6" x14ac:dyDescent="0.3">
      <c r="A223" s="11" t="s">
        <v>1237</v>
      </c>
      <c r="B223" s="12" t="s">
        <v>1035</v>
      </c>
      <c r="C223" s="12" t="s">
        <v>1218</v>
      </c>
      <c r="D223" s="12" t="s">
        <v>1238</v>
      </c>
      <c r="E223" s="12" t="s">
        <v>1239</v>
      </c>
      <c r="F223" s="12" t="s">
        <v>1062</v>
      </c>
      <c r="G223" s="12" t="s">
        <v>1240</v>
      </c>
      <c r="H223" s="12" t="s">
        <v>1241</v>
      </c>
      <c r="I223" s="11" t="s">
        <v>37</v>
      </c>
      <c r="J223" s="8"/>
      <c r="K223" s="8" t="s">
        <v>79</v>
      </c>
      <c r="L223" s="9"/>
      <c r="M223" s="9"/>
      <c r="N223" s="8"/>
      <c r="O223" s="10"/>
    </row>
    <row r="224" spans="1:15" ht="39.6" x14ac:dyDescent="0.3">
      <c r="A224" s="6" t="s">
        <v>1242</v>
      </c>
      <c r="B224" s="7" t="s">
        <v>1035</v>
      </c>
      <c r="C224" s="7" t="s">
        <v>1243</v>
      </c>
      <c r="D224" s="7" t="s">
        <v>1244</v>
      </c>
      <c r="E224" s="7" t="s">
        <v>1245</v>
      </c>
      <c r="F224" s="7" t="s">
        <v>1225</v>
      </c>
      <c r="G224" s="7" t="s">
        <v>1246</v>
      </c>
      <c r="H224" s="7" t="s">
        <v>1247</v>
      </c>
      <c r="I224" s="6" t="s">
        <v>37</v>
      </c>
      <c r="J224" s="8"/>
      <c r="K224" s="8" t="s">
        <v>79</v>
      </c>
      <c r="L224" s="9"/>
      <c r="M224" s="9"/>
      <c r="N224" s="8"/>
      <c r="O224" s="10"/>
    </row>
    <row r="225" spans="1:15" ht="26.4" x14ac:dyDescent="0.3">
      <c r="A225" s="11" t="s">
        <v>1248</v>
      </c>
      <c r="B225" s="12" t="s">
        <v>1035</v>
      </c>
      <c r="C225" s="12" t="s">
        <v>1243</v>
      </c>
      <c r="D225" s="12" t="s">
        <v>1249</v>
      </c>
      <c r="E225" s="12" t="s">
        <v>1250</v>
      </c>
      <c r="F225" s="12" t="s">
        <v>1062</v>
      </c>
      <c r="G225" s="12" t="s">
        <v>1240</v>
      </c>
      <c r="H225" s="12" t="s">
        <v>1251</v>
      </c>
      <c r="I225" s="11" t="s">
        <v>37</v>
      </c>
      <c r="J225" s="8"/>
      <c r="K225" s="8" t="s">
        <v>79</v>
      </c>
      <c r="L225" s="9"/>
      <c r="M225" s="9"/>
      <c r="N225" s="8"/>
      <c r="O225" s="10"/>
    </row>
    <row r="226" spans="1:15" ht="26.4" x14ac:dyDescent="0.3">
      <c r="A226" s="6" t="s">
        <v>1252</v>
      </c>
      <c r="B226" s="7" t="s">
        <v>1035</v>
      </c>
      <c r="C226" s="7" t="s">
        <v>1098</v>
      </c>
      <c r="D226" s="7" t="s">
        <v>1253</v>
      </c>
      <c r="E226" s="7" t="s">
        <v>1254</v>
      </c>
      <c r="F226" s="7" t="s">
        <v>1062</v>
      </c>
      <c r="G226" s="7" t="s">
        <v>1255</v>
      </c>
      <c r="H226" s="7" t="s">
        <v>1256</v>
      </c>
      <c r="I226" s="6" t="s">
        <v>37</v>
      </c>
      <c r="J226" s="8"/>
      <c r="K226" s="8" t="s">
        <v>79</v>
      </c>
      <c r="L226" s="9"/>
      <c r="M226" s="9"/>
      <c r="N226" s="8"/>
      <c r="O226" s="10"/>
    </row>
    <row r="227" spans="1:15" ht="26.4" x14ac:dyDescent="0.3">
      <c r="A227" s="11" t="s">
        <v>1257</v>
      </c>
      <c r="B227" s="12" t="s">
        <v>1035</v>
      </c>
      <c r="C227" s="12" t="s">
        <v>1098</v>
      </c>
      <c r="D227" s="12" t="s">
        <v>1258</v>
      </c>
      <c r="E227" s="12" t="s">
        <v>1259</v>
      </c>
      <c r="F227" s="12" t="s">
        <v>1062</v>
      </c>
      <c r="G227" s="12" t="s">
        <v>1106</v>
      </c>
      <c r="H227" s="12" t="s">
        <v>1260</v>
      </c>
      <c r="I227" s="11" t="s">
        <v>37</v>
      </c>
      <c r="J227" s="8"/>
      <c r="K227" s="8" t="s">
        <v>79</v>
      </c>
      <c r="L227" s="9"/>
      <c r="M227" s="9"/>
      <c r="N227" s="8"/>
      <c r="O227" s="10"/>
    </row>
    <row r="228" spans="1:15" ht="52.8" x14ac:dyDescent="0.3">
      <c r="A228" s="6" t="s">
        <v>1261</v>
      </c>
      <c r="B228" s="7" t="s">
        <v>1035</v>
      </c>
      <c r="C228" s="7" t="s">
        <v>1098</v>
      </c>
      <c r="D228" s="7" t="s">
        <v>1262</v>
      </c>
      <c r="E228" s="7" t="s">
        <v>1263</v>
      </c>
      <c r="F228" s="7" t="s">
        <v>1062</v>
      </c>
      <c r="G228" s="7" t="s">
        <v>1255</v>
      </c>
      <c r="H228" s="7" t="s">
        <v>1264</v>
      </c>
      <c r="I228" s="6" t="s">
        <v>37</v>
      </c>
      <c r="J228" s="8"/>
      <c r="K228" s="8" t="s">
        <v>79</v>
      </c>
      <c r="L228" s="9"/>
      <c r="M228" s="9"/>
      <c r="N228" s="8"/>
      <c r="O228" s="10"/>
    </row>
    <row r="229" spans="1:15" ht="39.6" x14ac:dyDescent="0.3">
      <c r="A229" s="11" t="s">
        <v>1265</v>
      </c>
      <c r="B229" s="12" t="s">
        <v>1035</v>
      </c>
      <c r="C229" s="12" t="s">
        <v>1266</v>
      </c>
      <c r="D229" s="12" t="s">
        <v>1267</v>
      </c>
      <c r="E229" s="12" t="s">
        <v>1268</v>
      </c>
      <c r="F229" s="12" t="s">
        <v>1269</v>
      </c>
      <c r="G229" s="12" t="s">
        <v>1270</v>
      </c>
      <c r="H229" s="12" t="s">
        <v>1271</v>
      </c>
      <c r="I229" s="11" t="s">
        <v>37</v>
      </c>
      <c r="J229" s="8"/>
      <c r="K229" s="8" t="s">
        <v>79</v>
      </c>
      <c r="L229" s="9"/>
      <c r="M229" s="9"/>
      <c r="N229" s="8"/>
      <c r="O229" s="10"/>
    </row>
    <row r="230" spans="1:15" ht="66" x14ac:dyDescent="0.3">
      <c r="A230" s="6" t="s">
        <v>1272</v>
      </c>
      <c r="B230" s="7" t="s">
        <v>1035</v>
      </c>
      <c r="C230" s="7" t="s">
        <v>1273</v>
      </c>
      <c r="D230" s="7" t="s">
        <v>1274</v>
      </c>
      <c r="E230" s="7" t="s">
        <v>1275</v>
      </c>
      <c r="F230" s="7" t="s">
        <v>1062</v>
      </c>
      <c r="G230" s="7" t="s">
        <v>1240</v>
      </c>
      <c r="H230" s="7" t="s">
        <v>1276</v>
      </c>
      <c r="I230" s="6" t="s">
        <v>37</v>
      </c>
      <c r="J230" s="8"/>
      <c r="K230" s="8" t="s">
        <v>79</v>
      </c>
      <c r="L230" s="9"/>
      <c r="M230" s="9"/>
      <c r="N230" s="8"/>
      <c r="O230" s="10"/>
    </row>
    <row r="231" spans="1:15" ht="79.2" x14ac:dyDescent="0.3">
      <c r="A231" s="11" t="s">
        <v>1277</v>
      </c>
      <c r="B231" s="12" t="s">
        <v>1035</v>
      </c>
      <c r="C231" s="12" t="s">
        <v>1273</v>
      </c>
      <c r="D231" s="12" t="s">
        <v>1278</v>
      </c>
      <c r="E231" s="12" t="s">
        <v>1279</v>
      </c>
      <c r="F231" s="12" t="s">
        <v>1062</v>
      </c>
      <c r="G231" s="12" t="s">
        <v>77</v>
      </c>
      <c r="H231" s="12" t="s">
        <v>1280</v>
      </c>
      <c r="I231" s="11" t="s">
        <v>37</v>
      </c>
      <c r="J231" s="8"/>
      <c r="K231" s="8" t="s">
        <v>79</v>
      </c>
      <c r="L231" s="9"/>
      <c r="M231" s="9"/>
      <c r="N231" s="8"/>
      <c r="O231" s="10"/>
    </row>
    <row r="232" spans="1:15" ht="92.4" x14ac:dyDescent="0.3">
      <c r="A232" s="6" t="s">
        <v>1281</v>
      </c>
      <c r="B232" s="7" t="s">
        <v>1035</v>
      </c>
      <c r="C232" s="7" t="s">
        <v>1273</v>
      </c>
      <c r="D232" s="7" t="s">
        <v>1282</v>
      </c>
      <c r="E232" s="7" t="s">
        <v>1283</v>
      </c>
      <c r="F232" s="7" t="s">
        <v>1062</v>
      </c>
      <c r="G232" s="7" t="s">
        <v>1284</v>
      </c>
      <c r="H232" s="7" t="s">
        <v>1285</v>
      </c>
      <c r="I232" s="6" t="s">
        <v>37</v>
      </c>
      <c r="J232" s="8"/>
      <c r="K232" s="8" t="s">
        <v>79</v>
      </c>
      <c r="L232" s="9"/>
      <c r="M232" s="9"/>
      <c r="N232" s="8"/>
      <c r="O232" s="10"/>
    </row>
    <row r="233" spans="1:15" ht="26.4" x14ac:dyDescent="0.3">
      <c r="A233" s="11" t="s">
        <v>1286</v>
      </c>
      <c r="B233" s="12" t="s">
        <v>1035</v>
      </c>
      <c r="C233" s="12" t="s">
        <v>1273</v>
      </c>
      <c r="D233" s="12" t="s">
        <v>1287</v>
      </c>
      <c r="E233" s="12" t="s">
        <v>1288</v>
      </c>
      <c r="F233" s="12" t="s">
        <v>1062</v>
      </c>
      <c r="G233" s="12" t="s">
        <v>77</v>
      </c>
      <c r="H233" s="12" t="s">
        <v>1289</v>
      </c>
      <c r="I233" s="11" t="s">
        <v>37</v>
      </c>
      <c r="J233" s="8"/>
      <c r="K233" s="8" t="s">
        <v>79</v>
      </c>
      <c r="L233" s="9"/>
      <c r="M233" s="9"/>
      <c r="N233" s="8"/>
      <c r="O233" s="10"/>
    </row>
    <row r="234" spans="1:15" ht="66" x14ac:dyDescent="0.3">
      <c r="A234" s="6" t="s">
        <v>1290</v>
      </c>
      <c r="B234" s="7" t="s">
        <v>1035</v>
      </c>
      <c r="C234" s="7" t="s">
        <v>1291</v>
      </c>
      <c r="D234" s="7" t="s">
        <v>1292</v>
      </c>
      <c r="E234" s="7" t="s">
        <v>1293</v>
      </c>
      <c r="F234" s="7" t="s">
        <v>1062</v>
      </c>
      <c r="G234" s="7" t="s">
        <v>1294</v>
      </c>
      <c r="H234" s="7" t="s">
        <v>1295</v>
      </c>
      <c r="I234" s="6" t="s">
        <v>37</v>
      </c>
      <c r="J234" s="8"/>
      <c r="K234" s="8" t="s">
        <v>79</v>
      </c>
      <c r="L234" s="9"/>
      <c r="M234" s="9"/>
      <c r="N234" s="8"/>
      <c r="O234" s="10"/>
    </row>
    <row r="235" spans="1:15" ht="39.6" x14ac:dyDescent="0.3">
      <c r="A235" s="11" t="s">
        <v>1296</v>
      </c>
      <c r="B235" s="12" t="s">
        <v>1035</v>
      </c>
      <c r="C235" s="12" t="s">
        <v>1291</v>
      </c>
      <c r="D235" s="12" t="s">
        <v>1297</v>
      </c>
      <c r="E235" s="12" t="s">
        <v>1298</v>
      </c>
      <c r="F235" s="12" t="s">
        <v>1062</v>
      </c>
      <c r="G235" s="12" t="s">
        <v>1299</v>
      </c>
      <c r="H235" s="12" t="s">
        <v>1300</v>
      </c>
      <c r="I235" s="11" t="s">
        <v>37</v>
      </c>
      <c r="J235" s="8"/>
      <c r="K235" s="8" t="s">
        <v>79</v>
      </c>
      <c r="L235" s="9"/>
      <c r="M235" s="9"/>
      <c r="N235" s="8"/>
      <c r="O235" s="10"/>
    </row>
    <row r="236" spans="1:15" ht="66" x14ac:dyDescent="0.3">
      <c r="A236" s="6" t="s">
        <v>1301</v>
      </c>
      <c r="B236" s="7" t="s">
        <v>1035</v>
      </c>
      <c r="C236" s="7" t="s">
        <v>1302</v>
      </c>
      <c r="D236" s="7" t="s">
        <v>1303</v>
      </c>
      <c r="E236" s="7" t="s">
        <v>1304</v>
      </c>
      <c r="F236" s="7" t="s">
        <v>1062</v>
      </c>
      <c r="G236" s="7" t="s">
        <v>77</v>
      </c>
      <c r="H236" s="7" t="s">
        <v>1305</v>
      </c>
      <c r="I236" s="6" t="s">
        <v>37</v>
      </c>
      <c r="J236" s="8"/>
      <c r="K236" s="8" t="s">
        <v>79</v>
      </c>
      <c r="L236" s="9"/>
      <c r="M236" s="9"/>
      <c r="N236" s="8"/>
      <c r="O236" s="10"/>
    </row>
    <row r="237" spans="1:15" ht="26.4" x14ac:dyDescent="0.3">
      <c r="A237" s="11" t="s">
        <v>1306</v>
      </c>
      <c r="B237" s="12" t="s">
        <v>1035</v>
      </c>
      <c r="C237" s="12" t="s">
        <v>1302</v>
      </c>
      <c r="D237" s="12" t="s">
        <v>1307</v>
      </c>
      <c r="E237" s="12" t="s">
        <v>1308</v>
      </c>
      <c r="F237" s="12" t="s">
        <v>1062</v>
      </c>
      <c r="G237" s="12" t="s">
        <v>1309</v>
      </c>
      <c r="H237" s="12" t="s">
        <v>1310</v>
      </c>
      <c r="I237" s="11" t="s">
        <v>37</v>
      </c>
      <c r="J237" s="8"/>
      <c r="K237" s="8" t="s">
        <v>79</v>
      </c>
      <c r="L237" s="9"/>
      <c r="M237" s="9"/>
      <c r="N237" s="8"/>
      <c r="O237" s="10"/>
    </row>
    <row r="238" spans="1:15" ht="26.4" x14ac:dyDescent="0.3">
      <c r="A238" s="6" t="s">
        <v>1311</v>
      </c>
      <c r="B238" s="7" t="s">
        <v>1035</v>
      </c>
      <c r="C238" s="7" t="s">
        <v>1312</v>
      </c>
      <c r="D238" s="7" t="s">
        <v>1313</v>
      </c>
      <c r="E238" s="7" t="s">
        <v>1314</v>
      </c>
      <c r="F238" s="7" t="s">
        <v>1062</v>
      </c>
      <c r="G238" s="7" t="s">
        <v>77</v>
      </c>
      <c r="H238" s="7" t="s">
        <v>1315</v>
      </c>
      <c r="I238" s="6" t="s">
        <v>37</v>
      </c>
      <c r="J238" s="8"/>
      <c r="K238" s="8" t="s">
        <v>79</v>
      </c>
      <c r="L238" s="9"/>
      <c r="M238" s="9"/>
      <c r="N238" s="8"/>
      <c r="O238" s="10"/>
    </row>
    <row r="239" spans="1:15" ht="26.4" x14ac:dyDescent="0.3">
      <c r="A239" s="11" t="s">
        <v>1316</v>
      </c>
      <c r="B239" s="12" t="s">
        <v>1035</v>
      </c>
      <c r="C239" s="12" t="s">
        <v>1312</v>
      </c>
      <c r="D239" s="12" t="s">
        <v>1317</v>
      </c>
      <c r="E239" s="12" t="s">
        <v>1318</v>
      </c>
      <c r="F239" s="12" t="s">
        <v>1062</v>
      </c>
      <c r="G239" s="12" t="s">
        <v>77</v>
      </c>
      <c r="H239" s="12" t="s">
        <v>1319</v>
      </c>
      <c r="I239" s="11" t="s">
        <v>37</v>
      </c>
      <c r="J239" s="8"/>
      <c r="K239" s="8" t="s">
        <v>79</v>
      </c>
      <c r="L239" s="9"/>
      <c r="M239" s="9"/>
      <c r="N239" s="8"/>
      <c r="O239" s="10"/>
    </row>
    <row r="240" spans="1:15" ht="52.8" x14ac:dyDescent="0.3">
      <c r="A240" s="6" t="s">
        <v>1320</v>
      </c>
      <c r="B240" s="7" t="s">
        <v>1035</v>
      </c>
      <c r="C240" s="7" t="s">
        <v>1312</v>
      </c>
      <c r="D240" s="7" t="s">
        <v>1321</v>
      </c>
      <c r="E240" s="7" t="s">
        <v>1322</v>
      </c>
      <c r="F240" s="7" t="s">
        <v>570</v>
      </c>
      <c r="G240" s="7" t="s">
        <v>77</v>
      </c>
      <c r="H240" s="7" t="s">
        <v>1323</v>
      </c>
      <c r="I240" s="6" t="s">
        <v>37</v>
      </c>
      <c r="J240" s="8"/>
      <c r="K240" s="8" t="s">
        <v>79</v>
      </c>
      <c r="L240" s="9"/>
      <c r="M240" s="9"/>
      <c r="N240" s="8"/>
      <c r="O240" s="10"/>
    </row>
    <row r="241" spans="1:15" ht="26.4" x14ac:dyDescent="0.3">
      <c r="A241" s="11" t="s">
        <v>1324</v>
      </c>
      <c r="B241" s="12" t="s">
        <v>1035</v>
      </c>
      <c r="C241" s="12" t="s">
        <v>1312</v>
      </c>
      <c r="D241" s="12" t="s">
        <v>1325</v>
      </c>
      <c r="E241" s="12" t="s">
        <v>1326</v>
      </c>
      <c r="F241" s="12" t="s">
        <v>570</v>
      </c>
      <c r="G241" s="12" t="s">
        <v>77</v>
      </c>
      <c r="H241" s="12" t="s">
        <v>1327</v>
      </c>
      <c r="I241" s="11" t="s">
        <v>37</v>
      </c>
      <c r="J241" s="8"/>
      <c r="K241" s="8" t="s">
        <v>79</v>
      </c>
      <c r="L241" s="9"/>
      <c r="M241" s="9"/>
      <c r="N241" s="8"/>
      <c r="O241" s="10"/>
    </row>
    <row r="242" spans="1:15" ht="26.4" x14ac:dyDescent="0.3">
      <c r="A242" s="6" t="s">
        <v>1328</v>
      </c>
      <c r="B242" s="7" t="s">
        <v>1035</v>
      </c>
      <c r="C242" s="7" t="s">
        <v>1312</v>
      </c>
      <c r="D242" s="7" t="s">
        <v>56</v>
      </c>
      <c r="E242" s="7" t="s">
        <v>1329</v>
      </c>
      <c r="F242" s="7" t="s">
        <v>570</v>
      </c>
      <c r="G242" s="7" t="s">
        <v>77</v>
      </c>
      <c r="H242" s="7" t="s">
        <v>1330</v>
      </c>
      <c r="I242" s="6" t="s">
        <v>37</v>
      </c>
      <c r="J242" s="8"/>
      <c r="K242" s="8" t="s">
        <v>79</v>
      </c>
      <c r="L242" s="9"/>
      <c r="M242" s="9"/>
      <c r="N242" s="8"/>
      <c r="O242" s="10"/>
    </row>
    <row r="243" spans="1:15" ht="39.6" x14ac:dyDescent="0.3">
      <c r="A243" s="11" t="s">
        <v>1331</v>
      </c>
      <c r="B243" s="12" t="s">
        <v>1035</v>
      </c>
      <c r="C243" s="12" t="s">
        <v>1312</v>
      </c>
      <c r="D243" s="12" t="s">
        <v>1332</v>
      </c>
      <c r="E243" s="12" t="s">
        <v>1333</v>
      </c>
      <c r="F243" s="12" t="s">
        <v>570</v>
      </c>
      <c r="G243" s="12" t="s">
        <v>1334</v>
      </c>
      <c r="H243" s="12" t="s">
        <v>1335</v>
      </c>
      <c r="I243" s="11" t="s">
        <v>37</v>
      </c>
      <c r="J243" s="8"/>
      <c r="K243" s="8" t="s">
        <v>79</v>
      </c>
      <c r="L243" s="9"/>
      <c r="M243" s="9"/>
      <c r="N243" s="8"/>
      <c r="O243" s="10"/>
    </row>
    <row r="244" spans="1:15" ht="26.4" x14ac:dyDescent="0.3">
      <c r="A244" s="6" t="s">
        <v>1336</v>
      </c>
      <c r="B244" s="7" t="s">
        <v>1035</v>
      </c>
      <c r="C244" s="7" t="s">
        <v>1312</v>
      </c>
      <c r="D244" s="7" t="s">
        <v>1337</v>
      </c>
      <c r="E244" s="7" t="s">
        <v>1338</v>
      </c>
      <c r="F244" s="7" t="s">
        <v>1062</v>
      </c>
      <c r="G244" s="7" t="s">
        <v>77</v>
      </c>
      <c r="H244" s="7" t="s">
        <v>1339</v>
      </c>
      <c r="I244" s="6" t="s">
        <v>37</v>
      </c>
      <c r="J244" s="8"/>
      <c r="K244" s="8" t="s">
        <v>79</v>
      </c>
      <c r="L244" s="9"/>
      <c r="M244" s="9"/>
      <c r="N244" s="8"/>
      <c r="O244" s="10"/>
    </row>
    <row r="245" spans="1:15" ht="105.6" x14ac:dyDescent="0.3">
      <c r="A245" s="11" t="s">
        <v>1340</v>
      </c>
      <c r="B245" s="12" t="s">
        <v>1035</v>
      </c>
      <c r="C245" s="12" t="s">
        <v>1312</v>
      </c>
      <c r="D245" s="12" t="s">
        <v>1341</v>
      </c>
      <c r="E245" s="12" t="s">
        <v>1342</v>
      </c>
      <c r="F245" s="12" t="s">
        <v>570</v>
      </c>
      <c r="G245" s="12" t="s">
        <v>1343</v>
      </c>
      <c r="H245" s="12" t="s">
        <v>1344</v>
      </c>
      <c r="I245" s="11" t="s">
        <v>37</v>
      </c>
      <c r="J245" s="8"/>
      <c r="K245" s="8" t="s">
        <v>79</v>
      </c>
      <c r="L245" s="9"/>
      <c r="M245" s="9"/>
      <c r="N245" s="8"/>
      <c r="O245" s="10"/>
    </row>
    <row r="246" spans="1:15" ht="26.4" x14ac:dyDescent="0.3">
      <c r="A246" s="6" t="s">
        <v>1345</v>
      </c>
      <c r="B246" s="7" t="s">
        <v>1035</v>
      </c>
      <c r="C246" s="7" t="s">
        <v>1346</v>
      </c>
      <c r="D246" s="7" t="s">
        <v>1347</v>
      </c>
      <c r="E246" s="7" t="s">
        <v>1348</v>
      </c>
      <c r="F246" s="7" t="s">
        <v>958</v>
      </c>
      <c r="G246" s="7" t="s">
        <v>77</v>
      </c>
      <c r="H246" s="7" t="s">
        <v>1349</v>
      </c>
      <c r="I246" s="6" t="s">
        <v>37</v>
      </c>
      <c r="J246" s="8"/>
      <c r="K246" s="8" t="s">
        <v>79</v>
      </c>
      <c r="L246" s="9"/>
      <c r="M246" s="9"/>
      <c r="N246" s="8"/>
      <c r="O246" s="10"/>
    </row>
    <row r="247" spans="1:15" x14ac:dyDescent="0.3">
      <c r="A247" s="11" t="s">
        <v>1350</v>
      </c>
      <c r="B247" s="12" t="s">
        <v>1035</v>
      </c>
      <c r="C247" s="12" t="s">
        <v>1346</v>
      </c>
      <c r="D247" s="12" t="s">
        <v>1351</v>
      </c>
      <c r="E247" s="12" t="s">
        <v>1352</v>
      </c>
      <c r="F247" s="12" t="s">
        <v>958</v>
      </c>
      <c r="G247" s="12" t="s">
        <v>1353</v>
      </c>
      <c r="H247" s="12" t="s">
        <v>1354</v>
      </c>
      <c r="I247" s="11" t="s">
        <v>37</v>
      </c>
      <c r="J247" s="8"/>
      <c r="K247" s="8" t="s">
        <v>79</v>
      </c>
      <c r="L247" s="9"/>
      <c r="M247" s="9"/>
      <c r="N247" s="8"/>
      <c r="O247" s="10"/>
    </row>
    <row r="248" spans="1:15" ht="26.4" x14ac:dyDescent="0.3">
      <c r="A248" s="6" t="s">
        <v>1355</v>
      </c>
      <c r="B248" s="7" t="s">
        <v>1035</v>
      </c>
      <c r="C248" s="7" t="s">
        <v>1346</v>
      </c>
      <c r="D248" s="7" t="s">
        <v>1356</v>
      </c>
      <c r="E248" s="7" t="s">
        <v>1357</v>
      </c>
      <c r="F248" s="7" t="s">
        <v>1358</v>
      </c>
      <c r="G248" s="7" t="s">
        <v>551</v>
      </c>
      <c r="H248" s="7" t="s">
        <v>1359</v>
      </c>
      <c r="I248" s="6" t="s">
        <v>37</v>
      </c>
      <c r="J248" s="8"/>
      <c r="K248" s="8" t="s">
        <v>79</v>
      </c>
      <c r="L248" s="9"/>
      <c r="M248" s="9"/>
      <c r="N248" s="8"/>
      <c r="O248" s="10"/>
    </row>
    <row r="249" spans="1:15" ht="26.4" x14ac:dyDescent="0.3">
      <c r="A249" s="11" t="s">
        <v>1360</v>
      </c>
      <c r="B249" s="12" t="s">
        <v>1035</v>
      </c>
      <c r="C249" s="12" t="s">
        <v>1346</v>
      </c>
      <c r="D249" s="12" t="s">
        <v>1361</v>
      </c>
      <c r="E249" s="12" t="s">
        <v>1362</v>
      </c>
      <c r="F249" s="12" t="s">
        <v>958</v>
      </c>
      <c r="G249" s="12" t="s">
        <v>77</v>
      </c>
      <c r="H249" s="12" t="s">
        <v>1363</v>
      </c>
      <c r="I249" s="11" t="s">
        <v>37</v>
      </c>
      <c r="J249" s="8"/>
      <c r="K249" s="8" t="s">
        <v>79</v>
      </c>
      <c r="L249" s="9"/>
      <c r="M249" s="9"/>
      <c r="N249" s="8"/>
      <c r="O249" s="10"/>
    </row>
    <row r="250" spans="1:15" ht="26.4" x14ac:dyDescent="0.3">
      <c r="A250" s="6" t="s">
        <v>1364</v>
      </c>
      <c r="B250" s="7" t="s">
        <v>1035</v>
      </c>
      <c r="C250" s="7" t="s">
        <v>1365</v>
      </c>
      <c r="D250" s="7" t="s">
        <v>1366</v>
      </c>
      <c r="E250" s="7" t="s">
        <v>1367</v>
      </c>
      <c r="F250" s="7" t="s">
        <v>1062</v>
      </c>
      <c r="G250" s="7" t="s">
        <v>77</v>
      </c>
      <c r="H250" s="7" t="s">
        <v>1368</v>
      </c>
      <c r="I250" s="6" t="s">
        <v>37</v>
      </c>
      <c r="J250" s="8"/>
      <c r="K250" s="8" t="s">
        <v>79</v>
      </c>
      <c r="L250" s="9"/>
      <c r="M250" s="9"/>
      <c r="N250" s="8"/>
      <c r="O250" s="10"/>
    </row>
    <row r="251" spans="1:15" ht="39.6" x14ac:dyDescent="0.3">
      <c r="A251" s="11" t="s">
        <v>1369</v>
      </c>
      <c r="B251" s="12" t="s">
        <v>1035</v>
      </c>
      <c r="C251" s="12" t="s">
        <v>1370</v>
      </c>
      <c r="D251" s="12" t="s">
        <v>1371</v>
      </c>
      <c r="E251" s="12" t="s">
        <v>1372</v>
      </c>
      <c r="F251" s="12" t="s">
        <v>550</v>
      </c>
      <c r="G251" s="12" t="s">
        <v>77</v>
      </c>
      <c r="H251" s="12" t="s">
        <v>1373</v>
      </c>
      <c r="I251" s="11" t="s">
        <v>37</v>
      </c>
      <c r="J251" s="8"/>
      <c r="K251" s="8" t="s">
        <v>79</v>
      </c>
      <c r="L251" s="9"/>
      <c r="M251" s="9"/>
      <c r="N251" s="8"/>
      <c r="O251" s="10"/>
    </row>
    <row r="252" spans="1:15" ht="52.8" x14ac:dyDescent="0.3">
      <c r="A252" s="6" t="s">
        <v>1374</v>
      </c>
      <c r="B252" s="7" t="s">
        <v>1035</v>
      </c>
      <c r="C252" s="7" t="s">
        <v>1375</v>
      </c>
      <c r="D252" s="7" t="s">
        <v>1376</v>
      </c>
      <c r="E252" s="7" t="s">
        <v>1377</v>
      </c>
      <c r="F252" s="7" t="s">
        <v>575</v>
      </c>
      <c r="G252" s="7" t="s">
        <v>1378</v>
      </c>
      <c r="H252" s="7" t="s">
        <v>1379</v>
      </c>
      <c r="I252" s="6" t="s">
        <v>37</v>
      </c>
      <c r="J252" s="8"/>
      <c r="K252" s="8" t="s">
        <v>79</v>
      </c>
      <c r="L252" s="9"/>
      <c r="M252" s="9"/>
      <c r="N252" s="8"/>
      <c r="O252" s="10"/>
    </row>
    <row r="253" spans="1:15" ht="26.4" x14ac:dyDescent="0.3">
      <c r="A253" s="11" t="s">
        <v>1380</v>
      </c>
      <c r="B253" s="12" t="s">
        <v>1035</v>
      </c>
      <c r="C253" s="12" t="s">
        <v>1381</v>
      </c>
      <c r="D253" s="12" t="s">
        <v>1382</v>
      </c>
      <c r="E253" s="12" t="s">
        <v>1383</v>
      </c>
      <c r="F253" s="12" t="s">
        <v>570</v>
      </c>
      <c r="G253" s="12" t="s">
        <v>77</v>
      </c>
      <c r="H253" s="12" t="s">
        <v>1384</v>
      </c>
      <c r="I253" s="11" t="s">
        <v>37</v>
      </c>
      <c r="J253" s="8"/>
      <c r="K253" s="8" t="s">
        <v>79</v>
      </c>
      <c r="L253" s="9"/>
      <c r="M253" s="9"/>
      <c r="N253" s="8"/>
      <c r="O253" s="10"/>
    </row>
    <row r="254" spans="1:15" ht="52.8" x14ac:dyDescent="0.3">
      <c r="A254" s="6" t="s">
        <v>1385</v>
      </c>
      <c r="B254" s="7" t="s">
        <v>1386</v>
      </c>
      <c r="C254" s="7" t="s">
        <v>1387</v>
      </c>
      <c r="D254" s="7" t="s">
        <v>1388</v>
      </c>
      <c r="E254" s="7" t="s">
        <v>1389</v>
      </c>
      <c r="F254" s="7" t="s">
        <v>1390</v>
      </c>
      <c r="G254" s="7" t="s">
        <v>1391</v>
      </c>
      <c r="H254" s="7" t="s">
        <v>1392</v>
      </c>
      <c r="I254" s="6" t="s">
        <v>37</v>
      </c>
      <c r="J254" s="8"/>
      <c r="K254" s="8" t="s">
        <v>79</v>
      </c>
      <c r="L254" s="9"/>
      <c r="M254" s="9"/>
      <c r="N254" s="8"/>
      <c r="O254" s="10"/>
    </row>
    <row r="255" spans="1:15" ht="52.8" x14ac:dyDescent="0.3">
      <c r="A255" s="11" t="s">
        <v>1393</v>
      </c>
      <c r="B255" s="12" t="s">
        <v>1386</v>
      </c>
      <c r="C255" s="12" t="s">
        <v>1394</v>
      </c>
      <c r="D255" s="12" t="s">
        <v>1395</v>
      </c>
      <c r="E255" s="12" t="s">
        <v>1396</v>
      </c>
      <c r="F255" s="12" t="s">
        <v>1397</v>
      </c>
      <c r="G255" s="12" t="s">
        <v>1398</v>
      </c>
      <c r="H255" s="12" t="s">
        <v>1399</v>
      </c>
      <c r="I255" s="11" t="s">
        <v>37</v>
      </c>
      <c r="J255" s="8"/>
      <c r="K255" s="8" t="s">
        <v>79</v>
      </c>
      <c r="L255" s="9"/>
      <c r="M255" s="9"/>
      <c r="N255" s="8"/>
      <c r="O255" s="10"/>
    </row>
    <row r="256" spans="1:15" ht="39.6" x14ac:dyDescent="0.3">
      <c r="A256" s="6" t="s">
        <v>1400</v>
      </c>
      <c r="B256" s="7" t="s">
        <v>370</v>
      </c>
      <c r="C256" s="7" t="s">
        <v>1401</v>
      </c>
      <c r="D256" s="7" t="s">
        <v>1402</v>
      </c>
      <c r="E256" s="7" t="s">
        <v>1403</v>
      </c>
      <c r="F256" s="7" t="s">
        <v>1404</v>
      </c>
      <c r="G256" s="7" t="s">
        <v>77</v>
      </c>
      <c r="H256" s="7" t="s">
        <v>1405</v>
      </c>
      <c r="I256" s="6" t="s">
        <v>37</v>
      </c>
      <c r="J256" s="8"/>
      <c r="K256" s="8" t="s">
        <v>79</v>
      </c>
      <c r="L256" s="9"/>
      <c r="M256" s="9"/>
      <c r="N256" s="8"/>
      <c r="O256" s="10"/>
    </row>
    <row r="257" spans="1:15" ht="52.8" x14ac:dyDescent="0.3">
      <c r="A257" s="11" t="s">
        <v>1406</v>
      </c>
      <c r="B257" s="12" t="s">
        <v>370</v>
      </c>
      <c r="C257" s="12" t="s">
        <v>1407</v>
      </c>
      <c r="D257" s="12" t="s">
        <v>1408</v>
      </c>
      <c r="E257" s="12" t="s">
        <v>1409</v>
      </c>
      <c r="F257" s="12" t="s">
        <v>1410</v>
      </c>
      <c r="G257" s="12" t="s">
        <v>1411</v>
      </c>
      <c r="H257" s="12" t="s">
        <v>1412</v>
      </c>
      <c r="I257" s="11" t="s">
        <v>37</v>
      </c>
      <c r="J257" s="8"/>
      <c r="K257" s="8" t="s">
        <v>79</v>
      </c>
      <c r="L257" s="9"/>
      <c r="M257" s="9"/>
      <c r="N257" s="8"/>
      <c r="O257" s="10"/>
    </row>
    <row r="258" spans="1:15" ht="39.6" x14ac:dyDescent="0.3">
      <c r="A258" s="6" t="s">
        <v>1413</v>
      </c>
      <c r="B258" s="7" t="s">
        <v>370</v>
      </c>
      <c r="C258" s="7" t="s">
        <v>1407</v>
      </c>
      <c r="D258" s="7" t="s">
        <v>1414</v>
      </c>
      <c r="E258" s="7" t="s">
        <v>1415</v>
      </c>
      <c r="F258" s="7" t="s">
        <v>1416</v>
      </c>
      <c r="G258" s="7" t="s">
        <v>77</v>
      </c>
      <c r="H258" s="7" t="s">
        <v>1417</v>
      </c>
      <c r="I258" s="6" t="s">
        <v>37</v>
      </c>
      <c r="J258" s="8"/>
      <c r="K258" s="8" t="s">
        <v>79</v>
      </c>
      <c r="L258" s="9"/>
      <c r="M258" s="9"/>
      <c r="N258" s="8"/>
      <c r="O258" s="10"/>
    </row>
    <row r="259" spans="1:15" ht="26.4" x14ac:dyDescent="0.3">
      <c r="A259" s="11" t="s">
        <v>1418</v>
      </c>
      <c r="B259" s="12" t="s">
        <v>370</v>
      </c>
      <c r="C259" s="12" t="s">
        <v>1407</v>
      </c>
      <c r="D259" s="12" t="s">
        <v>1419</v>
      </c>
      <c r="E259" s="12" t="s">
        <v>1420</v>
      </c>
      <c r="F259" s="12" t="s">
        <v>1416</v>
      </c>
      <c r="G259" s="12" t="s">
        <v>77</v>
      </c>
      <c r="H259" s="12" t="s">
        <v>1421</v>
      </c>
      <c r="I259" s="11" t="s">
        <v>37</v>
      </c>
      <c r="J259" s="8"/>
      <c r="K259" s="8" t="s">
        <v>79</v>
      </c>
      <c r="L259" s="9"/>
      <c r="M259" s="9"/>
      <c r="N259" s="8"/>
      <c r="O259" s="10"/>
    </row>
    <row r="260" spans="1:15" ht="39.6" x14ac:dyDescent="0.3">
      <c r="A260" s="6" t="s">
        <v>1422</v>
      </c>
      <c r="B260" s="7" t="s">
        <v>370</v>
      </c>
      <c r="C260" s="7" t="s">
        <v>1407</v>
      </c>
      <c r="D260" s="7" t="s">
        <v>354</v>
      </c>
      <c r="E260" s="7" t="s">
        <v>1423</v>
      </c>
      <c r="F260" s="7" t="s">
        <v>1416</v>
      </c>
      <c r="G260" s="7" t="s">
        <v>77</v>
      </c>
      <c r="H260" s="7" t="s">
        <v>1424</v>
      </c>
      <c r="I260" s="6" t="s">
        <v>37</v>
      </c>
      <c r="J260" s="8"/>
      <c r="K260" s="8" t="s">
        <v>79</v>
      </c>
      <c r="L260" s="9"/>
      <c r="M260" s="9"/>
      <c r="N260" s="8"/>
      <c r="O260" s="10"/>
    </row>
    <row r="261" spans="1:15" ht="26.4" x14ac:dyDescent="0.3">
      <c r="A261" s="11" t="s">
        <v>1425</v>
      </c>
      <c r="B261" s="12" t="s">
        <v>370</v>
      </c>
      <c r="C261" s="12" t="s">
        <v>1407</v>
      </c>
      <c r="D261" s="12" t="s">
        <v>1426</v>
      </c>
      <c r="E261" s="12" t="s">
        <v>1427</v>
      </c>
      <c r="F261" s="12" t="s">
        <v>1416</v>
      </c>
      <c r="G261" s="12" t="s">
        <v>77</v>
      </c>
      <c r="H261" s="12" t="s">
        <v>1428</v>
      </c>
      <c r="I261" s="11" t="s">
        <v>37</v>
      </c>
      <c r="J261" s="8"/>
      <c r="K261" s="8" t="s">
        <v>79</v>
      </c>
      <c r="L261" s="9"/>
      <c r="M261" s="9"/>
      <c r="N261" s="8"/>
      <c r="O261" s="10"/>
    </row>
    <row r="262" spans="1:15" x14ac:dyDescent="0.3">
      <c r="A262" s="6" t="s">
        <v>1429</v>
      </c>
      <c r="B262" s="7" t="s">
        <v>370</v>
      </c>
      <c r="C262" s="7" t="s">
        <v>1407</v>
      </c>
      <c r="D262" s="7" t="s">
        <v>1430</v>
      </c>
      <c r="E262" s="7" t="s">
        <v>1431</v>
      </c>
      <c r="F262" s="7" t="s">
        <v>1416</v>
      </c>
      <c r="G262" s="7" t="s">
        <v>77</v>
      </c>
      <c r="H262" s="7" t="s">
        <v>1432</v>
      </c>
      <c r="I262" s="6" t="s">
        <v>37</v>
      </c>
      <c r="J262" s="8"/>
      <c r="K262" s="8" t="s">
        <v>79</v>
      </c>
      <c r="L262" s="9"/>
      <c r="M262" s="9"/>
      <c r="N262" s="8"/>
      <c r="O262" s="10"/>
    </row>
    <row r="263" spans="1:15" ht="52.8" x14ac:dyDescent="0.3">
      <c r="A263" s="11" t="s">
        <v>1433</v>
      </c>
      <c r="B263" s="12" t="s">
        <v>370</v>
      </c>
      <c r="C263" s="12" t="s">
        <v>1434</v>
      </c>
      <c r="D263" s="12" t="s">
        <v>1435</v>
      </c>
      <c r="E263" s="12" t="s">
        <v>1436</v>
      </c>
      <c r="F263" s="12" t="s">
        <v>1416</v>
      </c>
      <c r="G263" s="12" t="s">
        <v>77</v>
      </c>
      <c r="H263" s="12" t="s">
        <v>1437</v>
      </c>
      <c r="I263" s="11" t="s">
        <v>37</v>
      </c>
      <c r="J263" s="8"/>
      <c r="K263" s="8" t="s">
        <v>79</v>
      </c>
      <c r="L263" s="9"/>
      <c r="M263" s="9"/>
      <c r="N263" s="8"/>
      <c r="O263" s="10"/>
    </row>
    <row r="264" spans="1:15" ht="26.4" x14ac:dyDescent="0.3">
      <c r="A264" s="6" t="s">
        <v>1438</v>
      </c>
      <c r="B264" s="7" t="s">
        <v>370</v>
      </c>
      <c r="C264" s="7" t="s">
        <v>1434</v>
      </c>
      <c r="D264" s="7" t="s">
        <v>1439</v>
      </c>
      <c r="E264" s="7" t="s">
        <v>1440</v>
      </c>
      <c r="F264" s="7" t="s">
        <v>1416</v>
      </c>
      <c r="G264" s="7" t="s">
        <v>77</v>
      </c>
      <c r="H264" s="7" t="s">
        <v>1441</v>
      </c>
      <c r="I264" s="6" t="s">
        <v>37</v>
      </c>
      <c r="J264" s="8"/>
      <c r="K264" s="8" t="s">
        <v>79</v>
      </c>
      <c r="L264" s="9"/>
      <c r="M264" s="9"/>
      <c r="N264" s="8"/>
      <c r="O264" s="10"/>
    </row>
    <row r="265" spans="1:15" ht="39.6" x14ac:dyDescent="0.3">
      <c r="A265" s="11" t="s">
        <v>1442</v>
      </c>
      <c r="B265" s="12" t="s">
        <v>370</v>
      </c>
      <c r="C265" s="12" t="s">
        <v>1434</v>
      </c>
      <c r="D265" s="12" t="s">
        <v>1443</v>
      </c>
      <c r="E265" s="12" t="s">
        <v>1444</v>
      </c>
      <c r="F265" s="12" t="s">
        <v>1416</v>
      </c>
      <c r="G265" s="12" t="s">
        <v>77</v>
      </c>
      <c r="H265" s="12" t="s">
        <v>1445</v>
      </c>
      <c r="I265" s="11" t="s">
        <v>37</v>
      </c>
      <c r="J265" s="8"/>
      <c r="K265" s="8" t="s">
        <v>79</v>
      </c>
      <c r="L265" s="9"/>
      <c r="M265" s="9"/>
      <c r="N265" s="8"/>
      <c r="O265" s="10"/>
    </row>
    <row r="266" spans="1:15" ht="26.4" x14ac:dyDescent="0.3">
      <c r="A266" s="6" t="s">
        <v>1446</v>
      </c>
      <c r="B266" s="7" t="s">
        <v>370</v>
      </c>
      <c r="C266" s="7" t="s">
        <v>1434</v>
      </c>
      <c r="D266" s="7" t="s">
        <v>1447</v>
      </c>
      <c r="E266" s="7" t="s">
        <v>1448</v>
      </c>
      <c r="F266" s="7" t="s">
        <v>1416</v>
      </c>
      <c r="G266" s="7" t="s">
        <v>77</v>
      </c>
      <c r="H266" s="7" t="s">
        <v>1449</v>
      </c>
      <c r="I266" s="6" t="s">
        <v>37</v>
      </c>
      <c r="J266" s="8"/>
      <c r="K266" s="8" t="s">
        <v>79</v>
      </c>
      <c r="L266" s="9"/>
      <c r="M266" s="9"/>
      <c r="N266" s="8"/>
      <c r="O266" s="10"/>
    </row>
    <row r="267" spans="1:15" ht="66" x14ac:dyDescent="0.3">
      <c r="A267" s="11" t="s">
        <v>1450</v>
      </c>
      <c r="B267" s="12" t="s">
        <v>370</v>
      </c>
      <c r="C267" s="12" t="s">
        <v>1434</v>
      </c>
      <c r="D267" s="12" t="s">
        <v>1451</v>
      </c>
      <c r="E267" s="12" t="s">
        <v>1452</v>
      </c>
      <c r="F267" s="12" t="s">
        <v>1416</v>
      </c>
      <c r="G267" s="12" t="s">
        <v>77</v>
      </c>
      <c r="H267" s="12" t="s">
        <v>1453</v>
      </c>
      <c r="I267" s="11" t="s">
        <v>37</v>
      </c>
      <c r="J267" s="8"/>
      <c r="K267" s="8" t="s">
        <v>79</v>
      </c>
      <c r="L267" s="9"/>
      <c r="M267" s="9"/>
      <c r="N267" s="8"/>
      <c r="O267" s="10"/>
    </row>
    <row r="268" spans="1:15" ht="39.6" x14ac:dyDescent="0.3">
      <c r="A268" s="6" t="s">
        <v>1454</v>
      </c>
      <c r="B268" s="7" t="s">
        <v>370</v>
      </c>
      <c r="C268" s="7" t="s">
        <v>1434</v>
      </c>
      <c r="D268" s="7" t="s">
        <v>1455</v>
      </c>
      <c r="E268" s="7" t="s">
        <v>1456</v>
      </c>
      <c r="F268" s="7" t="s">
        <v>1416</v>
      </c>
      <c r="G268" s="7" t="s">
        <v>77</v>
      </c>
      <c r="H268" s="7" t="s">
        <v>1457</v>
      </c>
      <c r="I268" s="6" t="s">
        <v>37</v>
      </c>
      <c r="J268" s="8"/>
      <c r="K268" s="8" t="s">
        <v>79</v>
      </c>
      <c r="L268" s="9"/>
      <c r="M268" s="9"/>
      <c r="N268" s="8"/>
      <c r="O268" s="10"/>
    </row>
    <row r="269" spans="1:15" ht="39.6" x14ac:dyDescent="0.3">
      <c r="A269" s="11" t="s">
        <v>1458</v>
      </c>
      <c r="B269" s="12" t="s">
        <v>370</v>
      </c>
      <c r="C269" s="12" t="s">
        <v>1434</v>
      </c>
      <c r="D269" s="12" t="s">
        <v>1459</v>
      </c>
      <c r="E269" s="12" t="s">
        <v>1460</v>
      </c>
      <c r="F269" s="12" t="s">
        <v>1416</v>
      </c>
      <c r="G269" s="12" t="s">
        <v>77</v>
      </c>
      <c r="H269" s="12" t="s">
        <v>1461</v>
      </c>
      <c r="I269" s="11" t="s">
        <v>37</v>
      </c>
      <c r="J269" s="8"/>
      <c r="K269" s="8" t="s">
        <v>79</v>
      </c>
      <c r="L269" s="9"/>
      <c r="M269" s="9"/>
      <c r="N269" s="8"/>
      <c r="O269" s="10"/>
    </row>
    <row r="270" spans="1:15" ht="39.6" x14ac:dyDescent="0.3">
      <c r="A270" s="6" t="s">
        <v>1462</v>
      </c>
      <c r="B270" s="7" t="s">
        <v>370</v>
      </c>
      <c r="C270" s="7" t="s">
        <v>1407</v>
      </c>
      <c r="D270" s="7" t="s">
        <v>1463</v>
      </c>
      <c r="E270" s="7" t="s">
        <v>1464</v>
      </c>
      <c r="F270" s="7" t="s">
        <v>1416</v>
      </c>
      <c r="G270" s="7" t="s">
        <v>77</v>
      </c>
      <c r="H270" s="7" t="s">
        <v>1465</v>
      </c>
      <c r="I270" s="6" t="s">
        <v>37</v>
      </c>
      <c r="J270" s="8"/>
      <c r="K270" s="8" t="s">
        <v>79</v>
      </c>
      <c r="L270" s="9"/>
      <c r="M270" s="9"/>
      <c r="N270" s="8"/>
      <c r="O270" s="10"/>
    </row>
    <row r="271" spans="1:15" ht="66" x14ac:dyDescent="0.3">
      <c r="A271" s="11" t="s">
        <v>1466</v>
      </c>
      <c r="B271" s="12" t="s">
        <v>370</v>
      </c>
      <c r="C271" s="12" t="s">
        <v>1407</v>
      </c>
      <c r="D271" s="12" t="s">
        <v>1467</v>
      </c>
      <c r="E271" s="12" t="s">
        <v>1468</v>
      </c>
      <c r="F271" s="12" t="s">
        <v>1416</v>
      </c>
      <c r="G271" s="12" t="s">
        <v>77</v>
      </c>
      <c r="H271" s="12" t="s">
        <v>1469</v>
      </c>
      <c r="I271" s="11" t="s">
        <v>37</v>
      </c>
      <c r="J271" s="8"/>
      <c r="K271" s="8" t="s">
        <v>79</v>
      </c>
      <c r="L271" s="9"/>
      <c r="M271" s="9"/>
      <c r="N271" s="8"/>
      <c r="O271" s="10"/>
    </row>
    <row r="272" spans="1:15" ht="39.6" x14ac:dyDescent="0.3">
      <c r="A272" s="6" t="s">
        <v>1470</v>
      </c>
      <c r="B272" s="7" t="s">
        <v>370</v>
      </c>
      <c r="C272" s="7" t="s">
        <v>1407</v>
      </c>
      <c r="D272" s="7" t="s">
        <v>1471</v>
      </c>
      <c r="E272" s="7" t="s">
        <v>1472</v>
      </c>
      <c r="F272" s="7" t="s">
        <v>1416</v>
      </c>
      <c r="G272" s="7" t="s">
        <v>1473</v>
      </c>
      <c r="H272" s="7" t="s">
        <v>1474</v>
      </c>
      <c r="I272" s="6" t="s">
        <v>37</v>
      </c>
      <c r="J272" s="8"/>
      <c r="K272" s="8" t="s">
        <v>79</v>
      </c>
      <c r="L272" s="9"/>
      <c r="M272" s="9"/>
      <c r="N272" s="8"/>
      <c r="O272" s="10"/>
    </row>
    <row r="273" spans="1:15" ht="39.6" x14ac:dyDescent="0.3">
      <c r="A273" s="11" t="s">
        <v>1475</v>
      </c>
      <c r="B273" s="12" t="s">
        <v>370</v>
      </c>
      <c r="C273" s="12" t="s">
        <v>1407</v>
      </c>
      <c r="D273" s="12" t="s">
        <v>1476</v>
      </c>
      <c r="E273" s="12" t="s">
        <v>1477</v>
      </c>
      <c r="F273" s="12" t="s">
        <v>1416</v>
      </c>
      <c r="G273" s="12" t="s">
        <v>1411</v>
      </c>
      <c r="H273" s="12" t="s">
        <v>1478</v>
      </c>
      <c r="I273" s="11" t="s">
        <v>37</v>
      </c>
      <c r="J273" s="8"/>
      <c r="K273" s="8" t="s">
        <v>79</v>
      </c>
      <c r="L273" s="9"/>
      <c r="M273" s="9"/>
      <c r="N273" s="8"/>
      <c r="O273" s="10"/>
    </row>
    <row r="274" spans="1:15" ht="26.4" x14ac:dyDescent="0.3">
      <c r="A274" s="6" t="s">
        <v>1479</v>
      </c>
      <c r="B274" s="7" t="s">
        <v>370</v>
      </c>
      <c r="C274" s="7" t="s">
        <v>1407</v>
      </c>
      <c r="D274" s="7" t="s">
        <v>1480</v>
      </c>
      <c r="E274" s="7" t="s">
        <v>1481</v>
      </c>
      <c r="F274" s="7" t="s">
        <v>1482</v>
      </c>
      <c r="G274" s="7" t="s">
        <v>77</v>
      </c>
      <c r="H274" s="7" t="s">
        <v>1483</v>
      </c>
      <c r="I274" s="6" t="s">
        <v>37</v>
      </c>
      <c r="J274" s="8"/>
      <c r="K274" s="8" t="s">
        <v>79</v>
      </c>
      <c r="L274" s="9"/>
      <c r="M274" s="9"/>
      <c r="N274" s="8"/>
      <c r="O274" s="10"/>
    </row>
    <row r="275" spans="1:15" ht="52.8" x14ac:dyDescent="0.3">
      <c r="A275" s="11" t="s">
        <v>1484</v>
      </c>
      <c r="B275" s="12" t="s">
        <v>370</v>
      </c>
      <c r="C275" s="12" t="s">
        <v>1407</v>
      </c>
      <c r="D275" s="12" t="s">
        <v>1485</v>
      </c>
      <c r="E275" s="12" t="s">
        <v>1486</v>
      </c>
      <c r="F275" s="12" t="s">
        <v>1487</v>
      </c>
      <c r="G275" s="12" t="s">
        <v>1488</v>
      </c>
      <c r="H275" s="12" t="s">
        <v>1489</v>
      </c>
      <c r="I275" s="11" t="s">
        <v>37</v>
      </c>
      <c r="J275" s="8"/>
      <c r="K275" s="8" t="s">
        <v>79</v>
      </c>
      <c r="L275" s="9"/>
      <c r="M275" s="9"/>
      <c r="N275" s="8"/>
      <c r="O275" s="10"/>
    </row>
    <row r="276" spans="1:15" ht="39.6" x14ac:dyDescent="0.3">
      <c r="A276" s="6" t="s">
        <v>1490</v>
      </c>
      <c r="B276" s="7" t="s">
        <v>370</v>
      </c>
      <c r="C276" s="7" t="s">
        <v>1491</v>
      </c>
      <c r="D276" s="7" t="s">
        <v>1492</v>
      </c>
      <c r="E276" s="7" t="s">
        <v>1493</v>
      </c>
      <c r="F276" s="7" t="s">
        <v>1416</v>
      </c>
      <c r="G276" s="7" t="s">
        <v>793</v>
      </c>
      <c r="H276" s="7" t="s">
        <v>1494</v>
      </c>
      <c r="I276" s="6" t="s">
        <v>37</v>
      </c>
      <c r="J276" s="8"/>
      <c r="K276" s="8" t="s">
        <v>79</v>
      </c>
      <c r="L276" s="9"/>
      <c r="M276" s="9"/>
      <c r="N276" s="8"/>
      <c r="O276" s="10"/>
    </row>
    <row r="277" spans="1:15" ht="39.6" x14ac:dyDescent="0.3">
      <c r="A277" s="11" t="s">
        <v>1495</v>
      </c>
      <c r="B277" s="12" t="s">
        <v>370</v>
      </c>
      <c r="C277" s="12" t="s">
        <v>1491</v>
      </c>
      <c r="D277" s="12" t="s">
        <v>1496</v>
      </c>
      <c r="E277" s="12" t="s">
        <v>1497</v>
      </c>
      <c r="F277" s="12" t="s">
        <v>1416</v>
      </c>
      <c r="G277" s="12" t="s">
        <v>77</v>
      </c>
      <c r="H277" s="12" t="s">
        <v>1498</v>
      </c>
      <c r="I277" s="11" t="s">
        <v>37</v>
      </c>
      <c r="J277" s="8"/>
      <c r="K277" s="8" t="s">
        <v>79</v>
      </c>
      <c r="L277" s="9"/>
      <c r="M277" s="9"/>
      <c r="N277" s="8"/>
      <c r="O277" s="10"/>
    </row>
    <row r="278" spans="1:15" ht="52.8" x14ac:dyDescent="0.3">
      <c r="A278" s="6" t="s">
        <v>1499</v>
      </c>
      <c r="B278" s="7" t="s">
        <v>370</v>
      </c>
      <c r="C278" s="7" t="s">
        <v>1491</v>
      </c>
      <c r="D278" s="7" t="s">
        <v>1500</v>
      </c>
      <c r="E278" s="7" t="s">
        <v>1501</v>
      </c>
      <c r="F278" s="7" t="s">
        <v>1416</v>
      </c>
      <c r="G278" s="7" t="s">
        <v>77</v>
      </c>
      <c r="H278" s="7" t="s">
        <v>1502</v>
      </c>
      <c r="I278" s="6" t="s">
        <v>37</v>
      </c>
      <c r="J278" s="8"/>
      <c r="K278" s="8" t="s">
        <v>79</v>
      </c>
      <c r="L278" s="9"/>
      <c r="M278" s="9"/>
      <c r="N278" s="8"/>
      <c r="O278" s="10"/>
    </row>
    <row r="279" spans="1:15" ht="52.8" x14ac:dyDescent="0.3">
      <c r="A279" s="11" t="s">
        <v>1503</v>
      </c>
      <c r="B279" s="12" t="s">
        <v>370</v>
      </c>
      <c r="C279" s="12" t="s">
        <v>1491</v>
      </c>
      <c r="D279" s="12" t="s">
        <v>1504</v>
      </c>
      <c r="E279" s="12" t="s">
        <v>1505</v>
      </c>
      <c r="F279" s="12" t="s">
        <v>1416</v>
      </c>
      <c r="G279" s="12" t="s">
        <v>1506</v>
      </c>
      <c r="H279" s="12" t="s">
        <v>1507</v>
      </c>
      <c r="I279" s="11" t="s">
        <v>37</v>
      </c>
      <c r="J279" s="8"/>
      <c r="K279" s="8" t="s">
        <v>79</v>
      </c>
      <c r="L279" s="9"/>
      <c r="M279" s="9"/>
      <c r="N279" s="8"/>
      <c r="O279" s="10"/>
    </row>
    <row r="280" spans="1:15" ht="39.6" x14ac:dyDescent="0.3">
      <c r="A280" s="6" t="s">
        <v>1508</v>
      </c>
      <c r="B280" s="7" t="s">
        <v>370</v>
      </c>
      <c r="C280" s="7" t="s">
        <v>1491</v>
      </c>
      <c r="D280" s="7" t="s">
        <v>1509</v>
      </c>
      <c r="E280" s="7" t="s">
        <v>1510</v>
      </c>
      <c r="F280" s="7" t="s">
        <v>1416</v>
      </c>
      <c r="G280" s="7" t="s">
        <v>1511</v>
      </c>
      <c r="H280" s="7" t="s">
        <v>1512</v>
      </c>
      <c r="I280" s="6" t="s">
        <v>37</v>
      </c>
      <c r="J280" s="8"/>
      <c r="K280" s="8" t="s">
        <v>79</v>
      </c>
      <c r="L280" s="9"/>
      <c r="M280" s="9"/>
      <c r="N280" s="8"/>
      <c r="O280" s="10"/>
    </row>
    <row r="281" spans="1:15" ht="39.6" x14ac:dyDescent="0.3">
      <c r="A281" s="11" t="s">
        <v>1513</v>
      </c>
      <c r="B281" s="12" t="s">
        <v>370</v>
      </c>
      <c r="C281" s="12" t="s">
        <v>1491</v>
      </c>
      <c r="D281" s="12" t="s">
        <v>1514</v>
      </c>
      <c r="E281" s="12" t="s">
        <v>1515</v>
      </c>
      <c r="F281" s="12" t="s">
        <v>1416</v>
      </c>
      <c r="G281" s="12" t="s">
        <v>1516</v>
      </c>
      <c r="H281" s="12" t="s">
        <v>1517</v>
      </c>
      <c r="I281" s="11" t="s">
        <v>37</v>
      </c>
      <c r="J281" s="8"/>
      <c r="K281" s="8" t="s">
        <v>79</v>
      </c>
      <c r="L281" s="9"/>
      <c r="M281" s="9"/>
      <c r="N281" s="8"/>
      <c r="O281" s="10"/>
    </row>
    <row r="282" spans="1:15" ht="26.4" x14ac:dyDescent="0.3">
      <c r="A282" s="6" t="s">
        <v>1518</v>
      </c>
      <c r="B282" s="7" t="s">
        <v>370</v>
      </c>
      <c r="C282" s="7" t="s">
        <v>1491</v>
      </c>
      <c r="D282" s="7" t="s">
        <v>1519</v>
      </c>
      <c r="E282" s="7" t="s">
        <v>1520</v>
      </c>
      <c r="F282" s="7" t="s">
        <v>48</v>
      </c>
      <c r="G282" s="7" t="s">
        <v>1521</v>
      </c>
      <c r="H282" s="7" t="s">
        <v>1522</v>
      </c>
      <c r="I282" s="6" t="s">
        <v>37</v>
      </c>
      <c r="J282" s="8"/>
      <c r="K282" s="8" t="s">
        <v>79</v>
      </c>
      <c r="L282" s="9"/>
      <c r="M282" s="9"/>
      <c r="N282" s="8"/>
      <c r="O282" s="10"/>
    </row>
    <row r="283" spans="1:15" ht="26.4" x14ac:dyDescent="0.3">
      <c r="A283" s="11" t="s">
        <v>1523</v>
      </c>
      <c r="B283" s="12" t="s">
        <v>370</v>
      </c>
      <c r="C283" s="12" t="s">
        <v>1491</v>
      </c>
      <c r="D283" s="12" t="s">
        <v>1524</v>
      </c>
      <c r="E283" s="12" t="s">
        <v>1525</v>
      </c>
      <c r="F283" s="12" t="s">
        <v>1526</v>
      </c>
      <c r="G283" s="12" t="s">
        <v>556</v>
      </c>
      <c r="H283" s="12" t="s">
        <v>1527</v>
      </c>
      <c r="I283" s="11" t="s">
        <v>37</v>
      </c>
      <c r="J283" s="8"/>
      <c r="K283" s="8" t="s">
        <v>79</v>
      </c>
      <c r="L283" s="9"/>
      <c r="M283" s="9"/>
      <c r="N283" s="8"/>
      <c r="O283" s="10"/>
    </row>
    <row r="284" spans="1:15" ht="26.4" x14ac:dyDescent="0.3">
      <c r="A284" s="6" t="s">
        <v>1528</v>
      </c>
      <c r="B284" s="7" t="s">
        <v>370</v>
      </c>
      <c r="C284" s="7" t="s">
        <v>1491</v>
      </c>
      <c r="D284" s="7" t="s">
        <v>1529</v>
      </c>
      <c r="E284" s="7" t="s">
        <v>1530</v>
      </c>
      <c r="F284" s="7" t="s">
        <v>1531</v>
      </c>
      <c r="G284" s="7" t="s">
        <v>1521</v>
      </c>
      <c r="H284" s="7" t="s">
        <v>1532</v>
      </c>
      <c r="I284" s="6" t="s">
        <v>37</v>
      </c>
      <c r="J284" s="8"/>
      <c r="K284" s="8" t="s">
        <v>79</v>
      </c>
      <c r="L284" s="9"/>
      <c r="M284" s="9"/>
      <c r="N284" s="8"/>
      <c r="O284" s="10"/>
    </row>
    <row r="285" spans="1:15" ht="26.4" x14ac:dyDescent="0.3">
      <c r="A285" s="11" t="s">
        <v>1533</v>
      </c>
      <c r="B285" s="12" t="s">
        <v>370</v>
      </c>
      <c r="C285" s="12" t="s">
        <v>1491</v>
      </c>
      <c r="D285" s="12" t="s">
        <v>1534</v>
      </c>
      <c r="E285" s="12" t="s">
        <v>1535</v>
      </c>
      <c r="F285" s="12" t="s">
        <v>1531</v>
      </c>
      <c r="G285" s="12" t="s">
        <v>1521</v>
      </c>
      <c r="H285" s="12" t="s">
        <v>1536</v>
      </c>
      <c r="I285" s="11" t="s">
        <v>37</v>
      </c>
      <c r="J285" s="8"/>
      <c r="K285" s="8" t="s">
        <v>79</v>
      </c>
      <c r="L285" s="9"/>
      <c r="M285" s="9"/>
      <c r="N285" s="8"/>
      <c r="O285" s="10"/>
    </row>
    <row r="286" spans="1:15" x14ac:dyDescent="0.3">
      <c r="A286" s="6" t="s">
        <v>1537</v>
      </c>
      <c r="B286" s="7" t="s">
        <v>370</v>
      </c>
      <c r="C286" s="7" t="s">
        <v>1491</v>
      </c>
      <c r="D286" s="7" t="s">
        <v>1538</v>
      </c>
      <c r="E286" s="7" t="s">
        <v>1539</v>
      </c>
      <c r="F286" s="7" t="s">
        <v>1416</v>
      </c>
      <c r="G286" s="7" t="s">
        <v>77</v>
      </c>
      <c r="H286" s="7" t="s">
        <v>1540</v>
      </c>
      <c r="I286" s="6" t="s">
        <v>37</v>
      </c>
      <c r="J286" s="8"/>
      <c r="K286" s="8" t="s">
        <v>79</v>
      </c>
      <c r="L286" s="9"/>
      <c r="M286" s="9"/>
      <c r="N286" s="8"/>
      <c r="O286" s="10"/>
    </row>
    <row r="287" spans="1:15" ht="52.8" x14ac:dyDescent="0.3">
      <c r="A287" s="11" t="s">
        <v>1541</v>
      </c>
      <c r="B287" s="12" t="s">
        <v>370</v>
      </c>
      <c r="C287" s="12" t="s">
        <v>1491</v>
      </c>
      <c r="D287" s="12" t="s">
        <v>1542</v>
      </c>
      <c r="E287" s="12" t="s">
        <v>1543</v>
      </c>
      <c r="F287" s="12" t="s">
        <v>1416</v>
      </c>
      <c r="G287" s="12" t="s">
        <v>1544</v>
      </c>
      <c r="H287" s="12" t="s">
        <v>1545</v>
      </c>
      <c r="I287" s="11" t="s">
        <v>37</v>
      </c>
      <c r="J287" s="8"/>
      <c r="K287" s="8" t="s">
        <v>79</v>
      </c>
      <c r="L287" s="9"/>
      <c r="M287" s="9"/>
      <c r="N287" s="8"/>
      <c r="O287" s="10"/>
    </row>
    <row r="288" spans="1:15" ht="52.8" x14ac:dyDescent="0.3">
      <c r="A288" s="6" t="s">
        <v>1546</v>
      </c>
      <c r="B288" s="7" t="s">
        <v>370</v>
      </c>
      <c r="C288" s="7" t="s">
        <v>1491</v>
      </c>
      <c r="D288" s="7" t="s">
        <v>1547</v>
      </c>
      <c r="E288" s="7" t="s">
        <v>1548</v>
      </c>
      <c r="F288" s="7" t="s">
        <v>1549</v>
      </c>
      <c r="G288" s="7" t="s">
        <v>1550</v>
      </c>
      <c r="H288" s="7" t="s">
        <v>1551</v>
      </c>
      <c r="I288" s="6" t="s">
        <v>37</v>
      </c>
      <c r="J288" s="8"/>
      <c r="K288" s="8" t="s">
        <v>79</v>
      </c>
      <c r="L288" s="9"/>
      <c r="M288" s="9"/>
      <c r="N288" s="8"/>
      <c r="O288" s="10"/>
    </row>
    <row r="289" spans="1:15" ht="26.4" x14ac:dyDescent="0.3">
      <c r="A289" s="11" t="s">
        <v>1552</v>
      </c>
      <c r="B289" s="12" t="s">
        <v>370</v>
      </c>
      <c r="C289" s="12" t="s">
        <v>1491</v>
      </c>
      <c r="D289" s="12" t="s">
        <v>1553</v>
      </c>
      <c r="E289" s="12" t="s">
        <v>1554</v>
      </c>
      <c r="F289" s="12" t="s">
        <v>1555</v>
      </c>
      <c r="G289" s="12" t="s">
        <v>793</v>
      </c>
      <c r="H289" s="12" t="s">
        <v>1556</v>
      </c>
      <c r="I289" s="11" t="s">
        <v>37</v>
      </c>
      <c r="J289" s="8"/>
      <c r="K289" s="8" t="s">
        <v>79</v>
      </c>
      <c r="L289" s="9"/>
      <c r="M289" s="9"/>
      <c r="N289" s="8"/>
      <c r="O289" s="10"/>
    </row>
    <row r="290" spans="1:15" ht="52.8" x14ac:dyDescent="0.3">
      <c r="A290" s="6" t="s">
        <v>1557</v>
      </c>
      <c r="B290" s="7" t="s">
        <v>370</v>
      </c>
      <c r="C290" s="7" t="s">
        <v>1491</v>
      </c>
      <c r="D290" s="7" t="s">
        <v>1558</v>
      </c>
      <c r="E290" s="7" t="s">
        <v>1559</v>
      </c>
      <c r="F290" s="7" t="s">
        <v>1560</v>
      </c>
      <c r="G290" s="7" t="s">
        <v>1561</v>
      </c>
      <c r="H290" s="7" t="s">
        <v>1562</v>
      </c>
      <c r="I290" s="6" t="s">
        <v>37</v>
      </c>
      <c r="J290" s="8"/>
      <c r="K290" s="8" t="s">
        <v>79</v>
      </c>
      <c r="L290" s="9"/>
      <c r="M290" s="9"/>
      <c r="N290" s="8"/>
      <c r="O290" s="10"/>
    </row>
    <row r="291" spans="1:15" ht="66" x14ac:dyDescent="0.3">
      <c r="A291" s="11" t="s">
        <v>1563</v>
      </c>
      <c r="B291" s="12" t="s">
        <v>370</v>
      </c>
      <c r="C291" s="12" t="s">
        <v>1564</v>
      </c>
      <c r="D291" s="12" t="s">
        <v>1565</v>
      </c>
      <c r="E291" s="12" t="s">
        <v>1566</v>
      </c>
      <c r="F291" s="12" t="s">
        <v>1416</v>
      </c>
      <c r="G291" s="12" t="s">
        <v>1567</v>
      </c>
      <c r="H291" s="12" t="s">
        <v>1568</v>
      </c>
      <c r="I291" s="11" t="s">
        <v>37</v>
      </c>
      <c r="J291" s="8"/>
      <c r="K291" s="8" t="s">
        <v>79</v>
      </c>
      <c r="L291" s="9"/>
      <c r="M291" s="9"/>
      <c r="N291" s="8"/>
      <c r="O291" s="10"/>
    </row>
    <row r="292" spans="1:15" ht="92.4" x14ac:dyDescent="0.3">
      <c r="A292" s="6" t="s">
        <v>1569</v>
      </c>
      <c r="B292" s="7" t="s">
        <v>370</v>
      </c>
      <c r="C292" s="7" t="s">
        <v>1564</v>
      </c>
      <c r="D292" s="7" t="s">
        <v>1570</v>
      </c>
      <c r="E292" s="7" t="s">
        <v>1571</v>
      </c>
      <c r="F292" s="7" t="s">
        <v>1555</v>
      </c>
      <c r="G292" s="7" t="s">
        <v>1572</v>
      </c>
      <c r="H292" s="7" t="s">
        <v>1573</v>
      </c>
      <c r="I292" s="6" t="s">
        <v>37</v>
      </c>
      <c r="J292" s="8"/>
      <c r="K292" s="8" t="s">
        <v>79</v>
      </c>
      <c r="L292" s="9"/>
      <c r="M292" s="9"/>
      <c r="N292" s="8"/>
      <c r="O292" s="10"/>
    </row>
    <row r="293" spans="1:15" ht="52.8" x14ac:dyDescent="0.3">
      <c r="A293" s="11" t="s">
        <v>1574</v>
      </c>
      <c r="B293" s="12" t="s">
        <v>370</v>
      </c>
      <c r="C293" s="12" t="s">
        <v>1575</v>
      </c>
      <c r="D293" s="12" t="s">
        <v>1576</v>
      </c>
      <c r="E293" s="12" t="s">
        <v>1577</v>
      </c>
      <c r="F293" s="12" t="s">
        <v>1482</v>
      </c>
      <c r="G293" s="12" t="s">
        <v>77</v>
      </c>
      <c r="H293" s="12" t="s">
        <v>1578</v>
      </c>
      <c r="I293" s="11" t="s">
        <v>37</v>
      </c>
      <c r="J293" s="8"/>
      <c r="K293" s="8" t="s">
        <v>79</v>
      </c>
      <c r="L293" s="9"/>
      <c r="M293" s="9"/>
      <c r="N293" s="8"/>
      <c r="O293" s="10"/>
    </row>
    <row r="294" spans="1:15" ht="52.8" x14ac:dyDescent="0.3">
      <c r="A294" s="6" t="s">
        <v>1579</v>
      </c>
      <c r="B294" s="7" t="s">
        <v>370</v>
      </c>
      <c r="C294" s="7" t="s">
        <v>1575</v>
      </c>
      <c r="D294" s="7" t="s">
        <v>1580</v>
      </c>
      <c r="E294" s="7" t="s">
        <v>1581</v>
      </c>
      <c r="F294" s="7" t="s">
        <v>1482</v>
      </c>
      <c r="G294" s="7" t="s">
        <v>77</v>
      </c>
      <c r="H294" s="7" t="s">
        <v>1582</v>
      </c>
      <c r="I294" s="6" t="s">
        <v>37</v>
      </c>
      <c r="J294" s="8"/>
      <c r="K294" s="8" t="s">
        <v>79</v>
      </c>
      <c r="L294" s="9"/>
      <c r="M294" s="9"/>
      <c r="N294" s="8"/>
      <c r="O294" s="10"/>
    </row>
    <row r="295" spans="1:15" ht="118.8" x14ac:dyDescent="0.3">
      <c r="A295" s="11" t="s">
        <v>1583</v>
      </c>
      <c r="B295" s="12" t="s">
        <v>370</v>
      </c>
      <c r="C295" s="12" t="s">
        <v>1584</v>
      </c>
      <c r="D295" s="12" t="s">
        <v>1585</v>
      </c>
      <c r="E295" s="12" t="s">
        <v>1586</v>
      </c>
      <c r="F295" s="12" t="s">
        <v>1587</v>
      </c>
      <c r="G295" s="12" t="s">
        <v>1588</v>
      </c>
      <c r="H295" s="12" t="s">
        <v>1589</v>
      </c>
      <c r="I295" s="11" t="s">
        <v>37</v>
      </c>
      <c r="J295" s="8"/>
      <c r="K295" s="8" t="s">
        <v>79</v>
      </c>
      <c r="L295" s="9"/>
      <c r="M295" s="9"/>
      <c r="N295" s="8"/>
      <c r="O295" s="10"/>
    </row>
    <row r="296" spans="1:15" ht="66" x14ac:dyDescent="0.3">
      <c r="A296" s="6" t="s">
        <v>1590</v>
      </c>
      <c r="B296" s="7" t="s">
        <v>370</v>
      </c>
      <c r="C296" s="7" t="s">
        <v>1584</v>
      </c>
      <c r="D296" s="7" t="s">
        <v>1591</v>
      </c>
      <c r="E296" s="7" t="s">
        <v>1592</v>
      </c>
      <c r="F296" s="7" t="s">
        <v>1587</v>
      </c>
      <c r="G296" s="7" t="s">
        <v>1593</v>
      </c>
      <c r="H296" s="7" t="s">
        <v>1594</v>
      </c>
      <c r="I296" s="6" t="s">
        <v>37</v>
      </c>
      <c r="J296" s="8"/>
      <c r="K296" s="8" t="s">
        <v>79</v>
      </c>
      <c r="L296" s="9"/>
      <c r="M296" s="9"/>
      <c r="N296" s="8"/>
      <c r="O296" s="10"/>
    </row>
    <row r="297" spans="1:15" ht="52.8" x14ac:dyDescent="0.3">
      <c r="A297" s="11" t="s">
        <v>1595</v>
      </c>
      <c r="B297" s="12" t="s">
        <v>370</v>
      </c>
      <c r="C297" s="12" t="s">
        <v>1584</v>
      </c>
      <c r="D297" s="12" t="s">
        <v>1596</v>
      </c>
      <c r="E297" s="12" t="s">
        <v>1597</v>
      </c>
      <c r="F297" s="12" t="s">
        <v>48</v>
      </c>
      <c r="G297" s="12" t="s">
        <v>1598</v>
      </c>
      <c r="H297" s="12" t="s">
        <v>1599</v>
      </c>
      <c r="I297" s="11" t="s">
        <v>37</v>
      </c>
      <c r="J297" s="8"/>
      <c r="K297" s="8" t="s">
        <v>79</v>
      </c>
      <c r="L297" s="9"/>
      <c r="M297" s="9"/>
      <c r="N297" s="8"/>
      <c r="O297" s="10"/>
    </row>
    <row r="298" spans="1:15" ht="79.2" x14ac:dyDescent="0.3">
      <c r="A298" s="6" t="s">
        <v>1600</v>
      </c>
      <c r="B298" s="7" t="s">
        <v>370</v>
      </c>
      <c r="C298" s="7" t="s">
        <v>1601</v>
      </c>
      <c r="D298" s="7" t="s">
        <v>1602</v>
      </c>
      <c r="E298" s="7" t="s">
        <v>1603</v>
      </c>
      <c r="F298" s="7" t="s">
        <v>1482</v>
      </c>
      <c r="G298" s="7" t="s">
        <v>1604</v>
      </c>
      <c r="H298" s="7" t="s">
        <v>1605</v>
      </c>
      <c r="I298" s="6" t="s">
        <v>37</v>
      </c>
      <c r="J298" s="8"/>
      <c r="K298" s="8" t="s">
        <v>79</v>
      </c>
      <c r="L298" s="9"/>
      <c r="M298" s="9"/>
      <c r="N298" s="8"/>
      <c r="O298" s="10"/>
    </row>
    <row r="299" spans="1:15" ht="52.8" x14ac:dyDescent="0.3">
      <c r="A299" s="11" t="s">
        <v>1606</v>
      </c>
      <c r="B299" s="12" t="s">
        <v>370</v>
      </c>
      <c r="C299" s="12" t="s">
        <v>1601</v>
      </c>
      <c r="D299" s="12" t="s">
        <v>1607</v>
      </c>
      <c r="E299" s="12" t="s">
        <v>1608</v>
      </c>
      <c r="F299" s="12" t="s">
        <v>1482</v>
      </c>
      <c r="G299" s="12" t="s">
        <v>1609</v>
      </c>
      <c r="H299" s="12" t="s">
        <v>1610</v>
      </c>
      <c r="I299" s="11" t="s">
        <v>37</v>
      </c>
      <c r="J299" s="8"/>
      <c r="K299" s="8" t="s">
        <v>79</v>
      </c>
      <c r="L299" s="9"/>
      <c r="M299" s="9"/>
      <c r="N299" s="8"/>
      <c r="O299" s="10"/>
    </row>
    <row r="300" spans="1:15" ht="66" x14ac:dyDescent="0.3">
      <c r="A300" s="6" t="s">
        <v>1611</v>
      </c>
      <c r="B300" s="7" t="s">
        <v>370</v>
      </c>
      <c r="C300" s="7" t="s">
        <v>1601</v>
      </c>
      <c r="D300" s="7" t="s">
        <v>1612</v>
      </c>
      <c r="E300" s="7" t="s">
        <v>1613</v>
      </c>
      <c r="F300" s="7" t="s">
        <v>1614</v>
      </c>
      <c r="G300" s="7" t="s">
        <v>1615</v>
      </c>
      <c r="H300" s="7" t="s">
        <v>1616</v>
      </c>
      <c r="I300" s="6" t="s">
        <v>37</v>
      </c>
      <c r="J300" s="8"/>
      <c r="K300" s="8" t="s">
        <v>79</v>
      </c>
      <c r="L300" s="9"/>
      <c r="M300" s="9"/>
      <c r="N300" s="8"/>
      <c r="O300" s="10"/>
    </row>
    <row r="301" spans="1:15" ht="26.4" x14ac:dyDescent="0.3">
      <c r="A301" s="11" t="s">
        <v>1617</v>
      </c>
      <c r="B301" s="12" t="s">
        <v>370</v>
      </c>
      <c r="C301" s="12" t="s">
        <v>1601</v>
      </c>
      <c r="D301" s="12" t="s">
        <v>1618</v>
      </c>
      <c r="E301" s="12" t="s">
        <v>1619</v>
      </c>
      <c r="F301" s="12" t="s">
        <v>1416</v>
      </c>
      <c r="G301" s="12" t="s">
        <v>77</v>
      </c>
      <c r="H301" s="12" t="s">
        <v>1620</v>
      </c>
      <c r="I301" s="11" t="s">
        <v>37</v>
      </c>
      <c r="J301" s="8"/>
      <c r="K301" s="8" t="s">
        <v>79</v>
      </c>
      <c r="L301" s="9"/>
      <c r="M301" s="9"/>
      <c r="N301" s="8"/>
      <c r="O301" s="10"/>
    </row>
    <row r="302" spans="1:15" ht="52.8" x14ac:dyDescent="0.3">
      <c r="A302" s="6" t="s">
        <v>1621</v>
      </c>
      <c r="B302" s="7" t="s">
        <v>370</v>
      </c>
      <c r="C302" s="7" t="s">
        <v>1622</v>
      </c>
      <c r="D302" s="7" t="s">
        <v>1623</v>
      </c>
      <c r="E302" s="7" t="s">
        <v>1624</v>
      </c>
      <c r="F302" s="7" t="s">
        <v>1625</v>
      </c>
      <c r="G302" s="7" t="s">
        <v>1626</v>
      </c>
      <c r="H302" s="7" t="s">
        <v>1627</v>
      </c>
      <c r="I302" s="6" t="s">
        <v>37</v>
      </c>
      <c r="J302" s="8"/>
      <c r="K302" s="8" t="s">
        <v>79</v>
      </c>
      <c r="L302" s="9"/>
      <c r="M302" s="9"/>
      <c r="N302" s="8"/>
      <c r="O302" s="10"/>
    </row>
    <row r="303" spans="1:15" ht="66" x14ac:dyDescent="0.3">
      <c r="A303" s="11" t="s">
        <v>1628</v>
      </c>
      <c r="B303" s="12" t="s">
        <v>370</v>
      </c>
      <c r="C303" s="12" t="s">
        <v>1629</v>
      </c>
      <c r="D303" s="12" t="s">
        <v>1630</v>
      </c>
      <c r="E303" s="12" t="s">
        <v>1631</v>
      </c>
      <c r="F303" s="12" t="s">
        <v>1632</v>
      </c>
      <c r="G303" s="12" t="s">
        <v>1633</v>
      </c>
      <c r="H303" s="12" t="s">
        <v>1634</v>
      </c>
      <c r="I303" s="11" t="s">
        <v>37</v>
      </c>
      <c r="J303" s="8"/>
      <c r="K303" s="8" t="s">
        <v>79</v>
      </c>
      <c r="L303" s="9"/>
      <c r="M303" s="9"/>
      <c r="N303" s="8"/>
      <c r="O303" s="10"/>
    </row>
    <row r="304" spans="1:15" ht="52.8" x14ac:dyDescent="0.3">
      <c r="A304" s="6" t="s">
        <v>1635</v>
      </c>
      <c r="B304" s="7" t="s">
        <v>370</v>
      </c>
      <c r="C304" s="7" t="s">
        <v>1636</v>
      </c>
      <c r="D304" s="7" t="s">
        <v>1637</v>
      </c>
      <c r="E304" s="7" t="s">
        <v>1638</v>
      </c>
      <c r="F304" s="7" t="s">
        <v>48</v>
      </c>
      <c r="G304" s="7" t="s">
        <v>1639</v>
      </c>
      <c r="H304" s="7" t="s">
        <v>1640</v>
      </c>
      <c r="I304" s="6" t="s">
        <v>37</v>
      </c>
      <c r="J304" s="8"/>
      <c r="K304" s="8" t="s">
        <v>79</v>
      </c>
      <c r="L304" s="9"/>
      <c r="M304" s="9"/>
      <c r="N304" s="8"/>
      <c r="O304" s="10"/>
    </row>
    <row r="305" spans="1:15" ht="26.4" x14ac:dyDescent="0.3">
      <c r="A305" s="11" t="s">
        <v>1641</v>
      </c>
      <c r="B305" s="12" t="s">
        <v>370</v>
      </c>
      <c r="C305" s="12" t="s">
        <v>1642</v>
      </c>
      <c r="D305" s="12" t="s">
        <v>1643</v>
      </c>
      <c r="E305" s="12" t="s">
        <v>1644</v>
      </c>
      <c r="F305" s="12" t="s">
        <v>1416</v>
      </c>
      <c r="G305" s="12" t="s">
        <v>1645</v>
      </c>
      <c r="H305" s="12" t="s">
        <v>1646</v>
      </c>
      <c r="I305" s="11" t="s">
        <v>37</v>
      </c>
      <c r="J305" s="8"/>
      <c r="K305" s="8" t="s">
        <v>79</v>
      </c>
      <c r="L305" s="9"/>
      <c r="M305" s="9"/>
      <c r="N305" s="8"/>
      <c r="O305" s="10"/>
    </row>
    <row r="306" spans="1:15" ht="79.2" x14ac:dyDescent="0.3">
      <c r="A306" s="6" t="s">
        <v>1647</v>
      </c>
      <c r="B306" s="7" t="s">
        <v>370</v>
      </c>
      <c r="C306" s="7" t="s">
        <v>1648</v>
      </c>
      <c r="D306" s="7" t="s">
        <v>1649</v>
      </c>
      <c r="E306" s="7" t="s">
        <v>1650</v>
      </c>
      <c r="F306" s="7" t="s">
        <v>1555</v>
      </c>
      <c r="G306" s="7" t="s">
        <v>1651</v>
      </c>
      <c r="H306" s="7" t="s">
        <v>1652</v>
      </c>
      <c r="I306" s="6" t="s">
        <v>37</v>
      </c>
      <c r="J306" s="8"/>
      <c r="K306" s="8" t="s">
        <v>79</v>
      </c>
      <c r="L306" s="9"/>
      <c r="M306" s="9"/>
      <c r="N306" s="8"/>
      <c r="O306" s="10"/>
    </row>
    <row r="307" spans="1:15" ht="39.6" x14ac:dyDescent="0.3">
      <c r="A307" s="11" t="s">
        <v>1653</v>
      </c>
      <c r="B307" s="12" t="s">
        <v>370</v>
      </c>
      <c r="C307" s="12" t="s">
        <v>1654</v>
      </c>
      <c r="D307" s="12" t="s">
        <v>1655</v>
      </c>
      <c r="E307" s="12" t="s">
        <v>1656</v>
      </c>
      <c r="F307" s="12" t="s">
        <v>1531</v>
      </c>
      <c r="G307" s="12" t="s">
        <v>1604</v>
      </c>
      <c r="H307" s="12" t="s">
        <v>1657</v>
      </c>
      <c r="I307" s="11" t="s">
        <v>37</v>
      </c>
      <c r="J307" s="8"/>
      <c r="K307" s="8" t="s">
        <v>79</v>
      </c>
      <c r="L307" s="9"/>
      <c r="M307" s="9"/>
      <c r="N307" s="8"/>
      <c r="O307" s="10"/>
    </row>
    <row r="308" spans="1:15" ht="39.6" x14ac:dyDescent="0.3">
      <c r="A308" s="6" t="s">
        <v>1658</v>
      </c>
      <c r="B308" s="7" t="s">
        <v>1659</v>
      </c>
      <c r="C308" s="7" t="s">
        <v>1660</v>
      </c>
      <c r="D308" s="7" t="s">
        <v>1661</v>
      </c>
      <c r="E308" s="7" t="s">
        <v>1662</v>
      </c>
      <c r="F308" s="7" t="s">
        <v>1663</v>
      </c>
      <c r="G308" s="7" t="s">
        <v>1664</v>
      </c>
      <c r="H308" s="7" t="s">
        <v>1665</v>
      </c>
      <c r="I308" s="6" t="s">
        <v>37</v>
      </c>
      <c r="J308" s="8"/>
      <c r="K308" s="8" t="s">
        <v>79</v>
      </c>
      <c r="L308" s="9"/>
      <c r="M308" s="9"/>
      <c r="N308" s="8"/>
      <c r="O308" s="10"/>
    </row>
    <row r="309" spans="1:15" ht="39.6" x14ac:dyDescent="0.3">
      <c r="A309" s="11" t="s">
        <v>1666</v>
      </c>
      <c r="B309" s="12" t="s">
        <v>1659</v>
      </c>
      <c r="C309" s="12" t="s">
        <v>1667</v>
      </c>
      <c r="D309" s="12" t="s">
        <v>1668</v>
      </c>
      <c r="E309" s="12" t="s">
        <v>1669</v>
      </c>
      <c r="F309" s="12" t="s">
        <v>1531</v>
      </c>
      <c r="G309" s="12" t="s">
        <v>1670</v>
      </c>
      <c r="H309" s="12" t="s">
        <v>1671</v>
      </c>
      <c r="I309" s="11" t="s">
        <v>37</v>
      </c>
      <c r="J309" s="8"/>
      <c r="K309" s="8" t="s">
        <v>79</v>
      </c>
      <c r="L309" s="9"/>
      <c r="M309" s="9"/>
      <c r="N309" s="8"/>
      <c r="O309" s="10"/>
    </row>
    <row r="310" spans="1:15" x14ac:dyDescent="0.3">
      <c r="A310" s="6" t="s">
        <v>1672</v>
      </c>
      <c r="B310" s="7" t="s">
        <v>1659</v>
      </c>
      <c r="C310" s="7" t="s">
        <v>1673</v>
      </c>
      <c r="D310" s="7" t="s">
        <v>1674</v>
      </c>
      <c r="E310" s="7" t="s">
        <v>1675</v>
      </c>
      <c r="F310" s="7" t="s">
        <v>1676</v>
      </c>
      <c r="G310" s="7" t="s">
        <v>1677</v>
      </c>
      <c r="H310" s="7" t="s">
        <v>1678</v>
      </c>
      <c r="I310" s="6" t="s">
        <v>37</v>
      </c>
      <c r="J310" s="8"/>
      <c r="K310" s="8" t="s">
        <v>79</v>
      </c>
      <c r="L310" s="9"/>
      <c r="M310" s="9"/>
      <c r="N310" s="8"/>
      <c r="O310" s="10"/>
    </row>
    <row r="311" spans="1:15" ht="26.4" x14ac:dyDescent="0.3">
      <c r="A311" s="11" t="s">
        <v>1679</v>
      </c>
      <c r="B311" s="12" t="s">
        <v>1680</v>
      </c>
      <c r="C311" s="12" t="s">
        <v>1681</v>
      </c>
      <c r="D311" s="12" t="s">
        <v>1682</v>
      </c>
      <c r="E311" s="12" t="s">
        <v>1683</v>
      </c>
      <c r="F311" s="12" t="s">
        <v>1684</v>
      </c>
      <c r="G311" s="12" t="s">
        <v>77</v>
      </c>
      <c r="H311" s="12" t="s">
        <v>1685</v>
      </c>
      <c r="I311" s="11" t="s">
        <v>37</v>
      </c>
      <c r="J311" s="8"/>
      <c r="K311" s="8" t="s">
        <v>79</v>
      </c>
      <c r="L311" s="9"/>
      <c r="M311" s="9"/>
      <c r="N311" s="8"/>
      <c r="O311" s="10"/>
    </row>
    <row r="312" spans="1:15" ht="39.6" x14ac:dyDescent="0.3">
      <c r="A312" s="6" t="s">
        <v>1686</v>
      </c>
      <c r="B312" s="7" t="s">
        <v>1680</v>
      </c>
      <c r="C312" s="7" t="s">
        <v>1687</v>
      </c>
      <c r="D312" s="7" t="s">
        <v>1688</v>
      </c>
      <c r="E312" s="7" t="s">
        <v>1689</v>
      </c>
      <c r="F312" s="7" t="s">
        <v>48</v>
      </c>
      <c r="G312" s="7" t="s">
        <v>1690</v>
      </c>
      <c r="H312" s="7" t="s">
        <v>1691</v>
      </c>
      <c r="I312" s="6" t="s">
        <v>37</v>
      </c>
      <c r="J312" s="8"/>
      <c r="K312" s="8" t="s">
        <v>79</v>
      </c>
      <c r="L312" s="9"/>
      <c r="M312" s="9"/>
      <c r="N312" s="8"/>
      <c r="O312" s="10"/>
    </row>
    <row r="313" spans="1:15" ht="26.4" x14ac:dyDescent="0.3">
      <c r="A313" s="11" t="s">
        <v>1692</v>
      </c>
      <c r="B313" s="12" t="s">
        <v>1680</v>
      </c>
      <c r="C313" s="12" t="s">
        <v>1687</v>
      </c>
      <c r="D313" s="12" t="s">
        <v>1693</v>
      </c>
      <c r="E313" s="12" t="s">
        <v>1694</v>
      </c>
      <c r="F313" s="12" t="s">
        <v>1684</v>
      </c>
      <c r="G313" s="12" t="s">
        <v>77</v>
      </c>
      <c r="H313" s="12" t="s">
        <v>1695</v>
      </c>
      <c r="I313" s="11" t="s">
        <v>37</v>
      </c>
      <c r="J313" s="8"/>
      <c r="K313" s="8" t="s">
        <v>79</v>
      </c>
      <c r="L313" s="9"/>
      <c r="M313" s="9"/>
      <c r="N313" s="8"/>
      <c r="O313" s="10"/>
    </row>
    <row r="314" spans="1:15" ht="39.6" x14ac:dyDescent="0.3">
      <c r="A314" s="6" t="s">
        <v>1696</v>
      </c>
      <c r="B314" s="7" t="s">
        <v>1680</v>
      </c>
      <c r="C314" s="7" t="s">
        <v>1697</v>
      </c>
      <c r="D314" s="7" t="s">
        <v>1698</v>
      </c>
      <c r="E314" s="7" t="s">
        <v>1699</v>
      </c>
      <c r="F314" s="7" t="s">
        <v>1700</v>
      </c>
      <c r="G314" s="7" t="s">
        <v>1701</v>
      </c>
      <c r="H314" s="7" t="s">
        <v>1702</v>
      </c>
      <c r="I314" s="6" t="s">
        <v>37</v>
      </c>
      <c r="J314" s="8"/>
      <c r="K314" s="8" t="s">
        <v>79</v>
      </c>
      <c r="L314" s="9"/>
      <c r="M314" s="9"/>
      <c r="N314" s="8"/>
      <c r="O314" s="10"/>
    </row>
    <row r="315" spans="1:15" ht="26.4" x14ac:dyDescent="0.3">
      <c r="A315" s="11" t="s">
        <v>1703</v>
      </c>
      <c r="B315" s="12" t="s">
        <v>1680</v>
      </c>
      <c r="C315" s="12" t="s">
        <v>1697</v>
      </c>
      <c r="D315" s="12" t="s">
        <v>1704</v>
      </c>
      <c r="E315" s="12" t="s">
        <v>1705</v>
      </c>
      <c r="F315" s="12" t="s">
        <v>1684</v>
      </c>
      <c r="G315" s="12" t="s">
        <v>1701</v>
      </c>
      <c r="H315" s="12" t="s">
        <v>1706</v>
      </c>
      <c r="I315" s="11" t="s">
        <v>37</v>
      </c>
      <c r="J315" s="8"/>
      <c r="K315" s="8" t="s">
        <v>79</v>
      </c>
      <c r="L315" s="9"/>
      <c r="M315" s="9"/>
      <c r="N315" s="8"/>
      <c r="O315" s="10"/>
    </row>
    <row r="316" spans="1:15" ht="26.4" x14ac:dyDescent="0.3">
      <c r="A316" s="6" t="s">
        <v>1707</v>
      </c>
      <c r="B316" s="7" t="s">
        <v>1680</v>
      </c>
      <c r="C316" s="7" t="s">
        <v>1697</v>
      </c>
      <c r="D316" s="7" t="s">
        <v>1708</v>
      </c>
      <c r="E316" s="7" t="s">
        <v>1709</v>
      </c>
      <c r="F316" s="7" t="s">
        <v>1684</v>
      </c>
      <c r="G316" s="7" t="s">
        <v>1710</v>
      </c>
      <c r="H316" s="7" t="s">
        <v>1711</v>
      </c>
      <c r="I316" s="6" t="s">
        <v>37</v>
      </c>
      <c r="J316" s="8"/>
      <c r="K316" s="8" t="s">
        <v>79</v>
      </c>
      <c r="L316" s="9"/>
      <c r="M316" s="9"/>
      <c r="N316" s="8"/>
      <c r="O316" s="10"/>
    </row>
    <row r="317" spans="1:15" ht="39.6" x14ac:dyDescent="0.3">
      <c r="A317" s="11" t="s">
        <v>1712</v>
      </c>
      <c r="B317" s="12" t="s">
        <v>1680</v>
      </c>
      <c r="C317" s="12" t="s">
        <v>1697</v>
      </c>
      <c r="D317" s="12" t="s">
        <v>1713</v>
      </c>
      <c r="E317" s="12" t="s">
        <v>1714</v>
      </c>
      <c r="F317" s="12" t="s">
        <v>1684</v>
      </c>
      <c r="G317" s="12" t="s">
        <v>1701</v>
      </c>
      <c r="H317" s="12" t="s">
        <v>1715</v>
      </c>
      <c r="I317" s="11" t="s">
        <v>37</v>
      </c>
      <c r="J317" s="8"/>
      <c r="K317" s="8" t="s">
        <v>79</v>
      </c>
      <c r="L317" s="9"/>
      <c r="M317" s="9"/>
      <c r="N317" s="8"/>
      <c r="O317" s="10"/>
    </row>
    <row r="318" spans="1:15" ht="39.6" x14ac:dyDescent="0.3">
      <c r="A318" s="6" t="s">
        <v>1716</v>
      </c>
      <c r="B318" s="7" t="s">
        <v>1680</v>
      </c>
      <c r="C318" s="7" t="s">
        <v>1697</v>
      </c>
      <c r="D318" s="7" t="s">
        <v>1717</v>
      </c>
      <c r="E318" s="7" t="s">
        <v>1718</v>
      </c>
      <c r="F318" s="7" t="s">
        <v>48</v>
      </c>
      <c r="G318" s="7" t="s">
        <v>1719</v>
      </c>
      <c r="H318" s="7" t="s">
        <v>1720</v>
      </c>
      <c r="I318" s="6" t="s">
        <v>37</v>
      </c>
      <c r="J318" s="8"/>
      <c r="K318" s="8" t="s">
        <v>79</v>
      </c>
      <c r="L318" s="9"/>
      <c r="M318" s="9"/>
      <c r="N318" s="8"/>
      <c r="O318" s="10"/>
    </row>
    <row r="319" spans="1:15" ht="26.4" x14ac:dyDescent="0.3">
      <c r="A319" s="11" t="s">
        <v>1721</v>
      </c>
      <c r="B319" s="12" t="s">
        <v>1680</v>
      </c>
      <c r="C319" s="12" t="s">
        <v>1697</v>
      </c>
      <c r="D319" s="12" t="s">
        <v>1722</v>
      </c>
      <c r="E319" s="12" t="s">
        <v>1723</v>
      </c>
      <c r="F319" s="12" t="s">
        <v>48</v>
      </c>
      <c r="G319" s="12" t="s">
        <v>1724</v>
      </c>
      <c r="H319" s="12" t="s">
        <v>1725</v>
      </c>
      <c r="I319" s="11" t="s">
        <v>37</v>
      </c>
      <c r="J319" s="8"/>
      <c r="K319" s="8" t="s">
        <v>79</v>
      </c>
      <c r="L319" s="9"/>
      <c r="M319" s="9"/>
      <c r="N319" s="8"/>
      <c r="O319" s="10"/>
    </row>
    <row r="320" spans="1:15" ht="52.8" x14ac:dyDescent="0.3">
      <c r="A320" s="6" t="s">
        <v>1726</v>
      </c>
      <c r="B320" s="7" t="s">
        <v>1680</v>
      </c>
      <c r="C320" s="7" t="s">
        <v>1697</v>
      </c>
      <c r="D320" s="7" t="s">
        <v>1727</v>
      </c>
      <c r="E320" s="7" t="s">
        <v>1728</v>
      </c>
      <c r="F320" s="7" t="s">
        <v>48</v>
      </c>
      <c r="G320" s="7" t="s">
        <v>1729</v>
      </c>
      <c r="H320" s="7" t="s">
        <v>1730</v>
      </c>
      <c r="I320" s="6" t="s">
        <v>37</v>
      </c>
      <c r="J320" s="8"/>
      <c r="K320" s="8" t="s">
        <v>79</v>
      </c>
      <c r="L320" s="9"/>
      <c r="M320" s="9"/>
      <c r="N320" s="8"/>
      <c r="O320" s="10"/>
    </row>
    <row r="321" spans="1:15" ht="52.8" x14ac:dyDescent="0.3">
      <c r="A321" s="11" t="s">
        <v>1731</v>
      </c>
      <c r="B321" s="12" t="s">
        <v>1680</v>
      </c>
      <c r="C321" s="12" t="s">
        <v>1732</v>
      </c>
      <c r="D321" s="12" t="s">
        <v>1733</v>
      </c>
      <c r="E321" s="12" t="s">
        <v>1734</v>
      </c>
      <c r="F321" s="12" t="s">
        <v>48</v>
      </c>
      <c r="G321" s="12" t="s">
        <v>1735</v>
      </c>
      <c r="H321" s="12" t="s">
        <v>1736</v>
      </c>
      <c r="I321" s="11" t="s">
        <v>37</v>
      </c>
      <c r="J321" s="8"/>
      <c r="K321" s="8" t="s">
        <v>79</v>
      </c>
      <c r="L321" s="9"/>
      <c r="M321" s="9"/>
      <c r="N321" s="8"/>
      <c r="O321" s="10"/>
    </row>
    <row r="322" spans="1:15" ht="39.6" x14ac:dyDescent="0.3">
      <c r="A322" s="6" t="s">
        <v>1737</v>
      </c>
      <c r="B322" s="7" t="s">
        <v>1680</v>
      </c>
      <c r="C322" s="7" t="s">
        <v>1732</v>
      </c>
      <c r="D322" s="7" t="s">
        <v>1738</v>
      </c>
      <c r="E322" s="7" t="s">
        <v>1739</v>
      </c>
      <c r="F322" s="7" t="s">
        <v>48</v>
      </c>
      <c r="G322" s="7" t="s">
        <v>1740</v>
      </c>
      <c r="H322" s="7" t="s">
        <v>1741</v>
      </c>
      <c r="I322" s="6" t="s">
        <v>37</v>
      </c>
      <c r="J322" s="8"/>
      <c r="K322" s="8" t="s">
        <v>79</v>
      </c>
      <c r="L322" s="9"/>
      <c r="M322" s="9"/>
      <c r="N322" s="8"/>
      <c r="O322" s="10"/>
    </row>
    <row r="323" spans="1:15" ht="39.6" x14ac:dyDescent="0.3">
      <c r="A323" s="11" t="s">
        <v>1742</v>
      </c>
      <c r="B323" s="12" t="s">
        <v>1680</v>
      </c>
      <c r="C323" s="12" t="s">
        <v>1732</v>
      </c>
      <c r="D323" s="12" t="s">
        <v>1743</v>
      </c>
      <c r="E323" s="12" t="s">
        <v>1744</v>
      </c>
      <c r="F323" s="12" t="s">
        <v>48</v>
      </c>
      <c r="G323" s="12" t="s">
        <v>1745</v>
      </c>
      <c r="H323" s="12" t="s">
        <v>1746</v>
      </c>
      <c r="I323" s="11" t="s">
        <v>37</v>
      </c>
      <c r="J323" s="8"/>
      <c r="K323" s="8" t="s">
        <v>79</v>
      </c>
      <c r="L323" s="9"/>
      <c r="M323" s="9"/>
      <c r="N323" s="8"/>
      <c r="O323" s="10"/>
    </row>
    <row r="324" spans="1:15" ht="39.6" x14ac:dyDescent="0.3">
      <c r="A324" s="6" t="s">
        <v>1747</v>
      </c>
      <c r="B324" s="7" t="s">
        <v>1680</v>
      </c>
      <c r="C324" s="7" t="s">
        <v>1748</v>
      </c>
      <c r="D324" s="7" t="s">
        <v>1749</v>
      </c>
      <c r="E324" s="7" t="s">
        <v>1750</v>
      </c>
      <c r="F324" s="7" t="s">
        <v>1751</v>
      </c>
      <c r="G324" s="7" t="s">
        <v>1752</v>
      </c>
      <c r="H324" s="7" t="s">
        <v>1753</v>
      </c>
      <c r="I324" s="6" t="s">
        <v>45</v>
      </c>
      <c r="J324" s="8"/>
      <c r="K324" s="8" t="s">
        <v>275</v>
      </c>
      <c r="L324" s="9"/>
      <c r="M324" s="9"/>
      <c r="N324" s="8"/>
      <c r="O324" s="10"/>
    </row>
    <row r="325" spans="1:15" ht="52.8" x14ac:dyDescent="0.3">
      <c r="A325" s="11" t="s">
        <v>1754</v>
      </c>
      <c r="B325" s="12" t="s">
        <v>1680</v>
      </c>
      <c r="C325" s="12" t="s">
        <v>1755</v>
      </c>
      <c r="D325" s="12" t="s">
        <v>1756</v>
      </c>
      <c r="E325" s="12" t="s">
        <v>1757</v>
      </c>
      <c r="F325" s="12" t="s">
        <v>1684</v>
      </c>
      <c r="G325" s="12" t="s">
        <v>1758</v>
      </c>
      <c r="H325" s="12" t="s">
        <v>1759</v>
      </c>
      <c r="I325" s="11" t="s">
        <v>37</v>
      </c>
      <c r="J325" s="8"/>
      <c r="K325" s="8" t="s">
        <v>79</v>
      </c>
      <c r="L325" s="9"/>
      <c r="M325" s="9"/>
      <c r="N325" s="8"/>
      <c r="O325" s="10"/>
    </row>
    <row r="326" spans="1:15" ht="39.6" x14ac:dyDescent="0.3">
      <c r="A326" s="6" t="s">
        <v>1760</v>
      </c>
      <c r="B326" s="7" t="s">
        <v>1680</v>
      </c>
      <c r="C326" s="7" t="s">
        <v>1755</v>
      </c>
      <c r="D326" s="7" t="s">
        <v>1761</v>
      </c>
      <c r="E326" s="7" t="s">
        <v>1762</v>
      </c>
      <c r="F326" s="7" t="s">
        <v>1684</v>
      </c>
      <c r="G326" s="7" t="s">
        <v>1763</v>
      </c>
      <c r="H326" s="7" t="s">
        <v>1764</v>
      </c>
      <c r="I326" s="6" t="s">
        <v>37</v>
      </c>
      <c r="J326" s="8"/>
      <c r="K326" s="8" t="s">
        <v>79</v>
      </c>
      <c r="L326" s="9"/>
      <c r="M326" s="9"/>
      <c r="N326" s="8"/>
      <c r="O326" s="10"/>
    </row>
    <row r="327" spans="1:15" ht="66" x14ac:dyDescent="0.3">
      <c r="A327" s="11" t="s">
        <v>1765</v>
      </c>
      <c r="B327" s="12" t="s">
        <v>1680</v>
      </c>
      <c r="C327" s="12" t="s">
        <v>1755</v>
      </c>
      <c r="D327" s="12" t="s">
        <v>1766</v>
      </c>
      <c r="E327" s="12" t="s">
        <v>1767</v>
      </c>
      <c r="F327" s="12" t="s">
        <v>1684</v>
      </c>
      <c r="G327" s="12" t="s">
        <v>1768</v>
      </c>
      <c r="H327" s="12" t="s">
        <v>1769</v>
      </c>
      <c r="I327" s="11" t="s">
        <v>37</v>
      </c>
      <c r="J327" s="8"/>
      <c r="K327" s="8" t="s">
        <v>79</v>
      </c>
      <c r="L327" s="9"/>
      <c r="M327" s="9"/>
      <c r="N327" s="8"/>
      <c r="O327" s="10"/>
    </row>
    <row r="328" spans="1:15" ht="66" x14ac:dyDescent="0.3">
      <c r="A328" s="6" t="s">
        <v>1770</v>
      </c>
      <c r="B328" s="7" t="s">
        <v>1680</v>
      </c>
      <c r="C328" s="7" t="s">
        <v>1755</v>
      </c>
      <c r="D328" s="7" t="s">
        <v>1771</v>
      </c>
      <c r="E328" s="7" t="s">
        <v>1772</v>
      </c>
      <c r="F328" s="7" t="s">
        <v>1684</v>
      </c>
      <c r="G328" s="7" t="s">
        <v>1773</v>
      </c>
      <c r="H328" s="7" t="s">
        <v>1774</v>
      </c>
      <c r="I328" s="6" t="s">
        <v>37</v>
      </c>
      <c r="J328" s="8"/>
      <c r="K328" s="8" t="s">
        <v>79</v>
      </c>
      <c r="L328" s="9"/>
      <c r="M328" s="9"/>
      <c r="N328" s="8"/>
      <c r="O328" s="10"/>
    </row>
    <row r="329" spans="1:15" ht="79.2" x14ac:dyDescent="0.3">
      <c r="A329" s="11" t="s">
        <v>1775</v>
      </c>
      <c r="B329" s="12" t="s">
        <v>1680</v>
      </c>
      <c r="C329" s="12" t="s">
        <v>1755</v>
      </c>
      <c r="D329" s="12" t="s">
        <v>1776</v>
      </c>
      <c r="E329" s="12" t="s">
        <v>1777</v>
      </c>
      <c r="F329" s="12" t="s">
        <v>1684</v>
      </c>
      <c r="G329" s="12" t="s">
        <v>1778</v>
      </c>
      <c r="H329" s="12" t="s">
        <v>1779</v>
      </c>
      <c r="I329" s="11" t="s">
        <v>37</v>
      </c>
      <c r="J329" s="8"/>
      <c r="K329" s="8" t="s">
        <v>79</v>
      </c>
      <c r="L329" s="9"/>
      <c r="M329" s="9"/>
      <c r="N329" s="8"/>
      <c r="O329" s="10"/>
    </row>
    <row r="330" spans="1:15" ht="39.6" x14ac:dyDescent="0.3">
      <c r="A330" s="6" t="s">
        <v>1780</v>
      </c>
      <c r="B330" s="7" t="s">
        <v>1680</v>
      </c>
      <c r="C330" s="7" t="s">
        <v>1755</v>
      </c>
      <c r="D330" s="7" t="s">
        <v>1781</v>
      </c>
      <c r="E330" s="7" t="s">
        <v>1782</v>
      </c>
      <c r="F330" s="7" t="s">
        <v>1684</v>
      </c>
      <c r="G330" s="7" t="s">
        <v>77</v>
      </c>
      <c r="H330" s="7" t="s">
        <v>1783</v>
      </c>
      <c r="I330" s="6" t="s">
        <v>37</v>
      </c>
      <c r="J330" s="8"/>
      <c r="K330" s="8" t="s">
        <v>79</v>
      </c>
      <c r="L330" s="9"/>
      <c r="M330" s="9"/>
      <c r="N330" s="8"/>
      <c r="O330" s="10"/>
    </row>
    <row r="331" spans="1:15" ht="39.6" x14ac:dyDescent="0.3">
      <c r="A331" s="11" t="s">
        <v>1784</v>
      </c>
      <c r="B331" s="12" t="s">
        <v>1680</v>
      </c>
      <c r="C331" s="12" t="s">
        <v>1755</v>
      </c>
      <c r="D331" s="12" t="s">
        <v>1785</v>
      </c>
      <c r="E331" s="12" t="s">
        <v>1786</v>
      </c>
      <c r="F331" s="12" t="s">
        <v>48</v>
      </c>
      <c r="G331" s="12" t="s">
        <v>1787</v>
      </c>
      <c r="H331" s="12" t="s">
        <v>1788</v>
      </c>
      <c r="I331" s="11" t="s">
        <v>37</v>
      </c>
      <c r="J331" s="8"/>
      <c r="K331" s="8" t="s">
        <v>79</v>
      </c>
      <c r="L331" s="9"/>
      <c r="M331" s="9"/>
      <c r="N331" s="8"/>
      <c r="O331" s="10"/>
    </row>
    <row r="332" spans="1:15" ht="52.8" x14ac:dyDescent="0.3">
      <c r="A332" s="6" t="s">
        <v>1789</v>
      </c>
      <c r="B332" s="7" t="s">
        <v>1680</v>
      </c>
      <c r="C332" s="7" t="s">
        <v>1790</v>
      </c>
      <c r="D332" s="7" t="s">
        <v>1791</v>
      </c>
      <c r="E332" s="7" t="s">
        <v>1792</v>
      </c>
      <c r="F332" s="7" t="s">
        <v>1684</v>
      </c>
      <c r="G332" s="7" t="s">
        <v>1793</v>
      </c>
      <c r="H332" s="7" t="s">
        <v>1794</v>
      </c>
      <c r="I332" s="6" t="s">
        <v>37</v>
      </c>
      <c r="J332" s="8"/>
      <c r="K332" s="8" t="s">
        <v>79</v>
      </c>
      <c r="L332" s="9"/>
      <c r="M332" s="9"/>
      <c r="N332" s="8"/>
      <c r="O332" s="10"/>
    </row>
    <row r="333" spans="1:15" ht="79.2" x14ac:dyDescent="0.3">
      <c r="A333" s="11" t="s">
        <v>1795</v>
      </c>
      <c r="B333" s="12" t="s">
        <v>1680</v>
      </c>
      <c r="C333" s="12" t="s">
        <v>1796</v>
      </c>
      <c r="D333" s="12" t="s">
        <v>1797</v>
      </c>
      <c r="E333" s="12" t="s">
        <v>1798</v>
      </c>
      <c r="F333" s="12" t="s">
        <v>48</v>
      </c>
      <c r="G333" s="12" t="s">
        <v>1799</v>
      </c>
      <c r="H333" s="12" t="s">
        <v>1800</v>
      </c>
      <c r="I333" s="11" t="s">
        <v>37</v>
      </c>
      <c r="J333" s="8"/>
      <c r="K333" s="8" t="s">
        <v>79</v>
      </c>
      <c r="L333" s="9"/>
      <c r="M333" s="9"/>
      <c r="N333" s="8"/>
      <c r="O333" s="10"/>
    </row>
    <row r="334" spans="1:15" ht="26.4" x14ac:dyDescent="0.3">
      <c r="A334" s="6" t="s">
        <v>1801</v>
      </c>
      <c r="B334" s="7" t="s">
        <v>1680</v>
      </c>
      <c r="C334" s="7" t="s">
        <v>1796</v>
      </c>
      <c r="D334" s="7" t="s">
        <v>1802</v>
      </c>
      <c r="E334" s="7" t="s">
        <v>1803</v>
      </c>
      <c r="F334" s="7" t="s">
        <v>1684</v>
      </c>
      <c r="G334" s="7" t="s">
        <v>1804</v>
      </c>
      <c r="H334" s="7" t="s">
        <v>1805</v>
      </c>
      <c r="I334" s="6" t="s">
        <v>37</v>
      </c>
      <c r="J334" s="8"/>
      <c r="K334" s="8" t="s">
        <v>79</v>
      </c>
      <c r="L334" s="9"/>
      <c r="M334" s="9"/>
      <c r="N334" s="8"/>
      <c r="O334" s="10"/>
    </row>
    <row r="335" spans="1:15" ht="26.4" x14ac:dyDescent="0.3">
      <c r="A335" s="11" t="s">
        <v>1806</v>
      </c>
      <c r="B335" s="12" t="s">
        <v>1680</v>
      </c>
      <c r="C335" s="12" t="s">
        <v>1796</v>
      </c>
      <c r="D335" s="12" t="s">
        <v>1807</v>
      </c>
      <c r="E335" s="12" t="s">
        <v>1808</v>
      </c>
      <c r="F335" s="12" t="s">
        <v>48</v>
      </c>
      <c r="G335" s="12" t="s">
        <v>1809</v>
      </c>
      <c r="H335" s="12" t="s">
        <v>1810</v>
      </c>
      <c r="I335" s="11" t="s">
        <v>37</v>
      </c>
      <c r="J335" s="8"/>
      <c r="K335" s="8" t="s">
        <v>79</v>
      </c>
      <c r="L335" s="9"/>
      <c r="M335" s="9"/>
      <c r="N335" s="8"/>
      <c r="O335" s="10"/>
    </row>
    <row r="336" spans="1:15" ht="92.4" x14ac:dyDescent="0.3">
      <c r="A336" s="6" t="s">
        <v>1811</v>
      </c>
      <c r="B336" s="7" t="s">
        <v>1680</v>
      </c>
      <c r="C336" s="7" t="s">
        <v>1812</v>
      </c>
      <c r="D336" s="7" t="s">
        <v>1813</v>
      </c>
      <c r="E336" s="7" t="s">
        <v>1814</v>
      </c>
      <c r="F336" s="7" t="s">
        <v>1815</v>
      </c>
      <c r="G336" s="7" t="s">
        <v>1816</v>
      </c>
      <c r="H336" s="7" t="s">
        <v>1817</v>
      </c>
      <c r="I336" s="6" t="s">
        <v>37</v>
      </c>
      <c r="J336" s="8"/>
      <c r="K336" s="8" t="s">
        <v>79</v>
      </c>
      <c r="L336" s="9"/>
      <c r="M336" s="9"/>
      <c r="N336" s="8"/>
      <c r="O336" s="10"/>
    </row>
    <row r="337" spans="1:15" ht="39.6" x14ac:dyDescent="0.3">
      <c r="A337" s="11" t="s">
        <v>1818</v>
      </c>
      <c r="B337" s="12" t="s">
        <v>1680</v>
      </c>
      <c r="C337" s="12" t="s">
        <v>1812</v>
      </c>
      <c r="D337" s="12" t="s">
        <v>1819</v>
      </c>
      <c r="E337" s="12" t="s">
        <v>1820</v>
      </c>
      <c r="F337" s="12" t="s">
        <v>1821</v>
      </c>
      <c r="G337" s="12" t="s">
        <v>1690</v>
      </c>
      <c r="H337" s="12" t="s">
        <v>1822</v>
      </c>
      <c r="I337" s="11" t="s">
        <v>37</v>
      </c>
      <c r="J337" s="8"/>
      <c r="K337" s="8" t="s">
        <v>79</v>
      </c>
      <c r="L337" s="9"/>
      <c r="M337" s="9"/>
      <c r="N337" s="8"/>
      <c r="O337" s="10"/>
    </row>
    <row r="338" spans="1:15" ht="39.6" x14ac:dyDescent="0.3">
      <c r="A338" s="6" t="s">
        <v>1823</v>
      </c>
      <c r="B338" s="7" t="s">
        <v>1680</v>
      </c>
      <c r="C338" s="7" t="s">
        <v>1824</v>
      </c>
      <c r="D338" s="7" t="s">
        <v>1825</v>
      </c>
      <c r="E338" s="7" t="s">
        <v>1826</v>
      </c>
      <c r="F338" s="7" t="s">
        <v>1827</v>
      </c>
      <c r="G338" s="7" t="s">
        <v>1828</v>
      </c>
      <c r="H338" s="7" t="s">
        <v>1829</v>
      </c>
      <c r="I338" s="6" t="s">
        <v>37</v>
      </c>
      <c r="J338" s="8"/>
      <c r="K338" s="8" t="s">
        <v>79</v>
      </c>
      <c r="L338" s="9"/>
      <c r="M338" s="9"/>
      <c r="N338" s="8"/>
      <c r="O338" s="10"/>
    </row>
    <row r="339" spans="1:15" ht="105.6" x14ac:dyDescent="0.3">
      <c r="A339" s="11" t="s">
        <v>1830</v>
      </c>
      <c r="B339" s="12" t="s">
        <v>1680</v>
      </c>
      <c r="C339" s="12" t="s">
        <v>1831</v>
      </c>
      <c r="D339" s="12" t="s">
        <v>1832</v>
      </c>
      <c r="E339" s="12" t="s">
        <v>1833</v>
      </c>
      <c r="F339" s="12" t="s">
        <v>48</v>
      </c>
      <c r="G339" s="12" t="s">
        <v>1834</v>
      </c>
      <c r="H339" s="12" t="s">
        <v>1835</v>
      </c>
      <c r="I339" s="11" t="s">
        <v>37</v>
      </c>
      <c r="J339" s="8"/>
      <c r="K339" s="8" t="s">
        <v>79</v>
      </c>
      <c r="L339" s="9"/>
      <c r="M339" s="9"/>
      <c r="N339" s="8"/>
      <c r="O339" s="10"/>
    </row>
    <row r="340" spans="1:15" ht="39.6" x14ac:dyDescent="0.3">
      <c r="A340" s="6" t="s">
        <v>1836</v>
      </c>
      <c r="B340" s="7" t="s">
        <v>1680</v>
      </c>
      <c r="C340" s="7" t="s">
        <v>1790</v>
      </c>
      <c r="D340" s="7" t="s">
        <v>1837</v>
      </c>
      <c r="E340" s="7" t="s">
        <v>1838</v>
      </c>
      <c r="F340" s="7" t="s">
        <v>48</v>
      </c>
      <c r="G340" s="7" t="s">
        <v>1839</v>
      </c>
      <c r="H340" s="7" t="s">
        <v>1840</v>
      </c>
      <c r="I340" s="6" t="s">
        <v>37</v>
      </c>
      <c r="J340" s="8"/>
      <c r="K340" s="8" t="s">
        <v>79</v>
      </c>
      <c r="L340" s="9"/>
      <c r="M340" s="9"/>
      <c r="N340" s="8"/>
      <c r="O340" s="10"/>
    </row>
    <row r="341" spans="1:15" x14ac:dyDescent="0.3">
      <c r="A341" s="11" t="s">
        <v>1841</v>
      </c>
      <c r="B341" s="12" t="s">
        <v>1680</v>
      </c>
      <c r="C341" s="12" t="s">
        <v>1842</v>
      </c>
      <c r="D341" s="12" t="s">
        <v>1843</v>
      </c>
      <c r="E341" s="12" t="s">
        <v>1844</v>
      </c>
      <c r="F341" s="12" t="s">
        <v>48</v>
      </c>
      <c r="G341" s="12" t="s">
        <v>1845</v>
      </c>
      <c r="H341" s="12" t="s">
        <v>1846</v>
      </c>
      <c r="I341" s="11" t="s">
        <v>37</v>
      </c>
      <c r="J341" s="8"/>
      <c r="K341" s="8" t="s">
        <v>79</v>
      </c>
      <c r="L341" s="9"/>
      <c r="M341" s="9"/>
      <c r="N341" s="8"/>
      <c r="O341" s="10"/>
    </row>
    <row r="342" spans="1:15" ht="39.6" x14ac:dyDescent="0.3">
      <c r="A342" s="6" t="s">
        <v>1847</v>
      </c>
      <c r="B342" s="7" t="s">
        <v>1680</v>
      </c>
      <c r="C342" s="7" t="s">
        <v>1848</v>
      </c>
      <c r="D342" s="7" t="s">
        <v>1849</v>
      </c>
      <c r="E342" s="7" t="s">
        <v>1850</v>
      </c>
      <c r="F342" s="7" t="s">
        <v>1684</v>
      </c>
      <c r="G342" s="7" t="s">
        <v>1851</v>
      </c>
      <c r="H342" s="7" t="s">
        <v>1852</v>
      </c>
      <c r="I342" s="6" t="s">
        <v>37</v>
      </c>
      <c r="J342" s="8"/>
      <c r="K342" s="8" t="s">
        <v>79</v>
      </c>
      <c r="L342" s="9"/>
      <c r="M342" s="9"/>
      <c r="N342" s="8"/>
      <c r="O342" s="10"/>
    </row>
    <row r="343" spans="1:15" ht="52.8" x14ac:dyDescent="0.3">
      <c r="A343" s="11" t="s">
        <v>1853</v>
      </c>
      <c r="B343" s="12" t="s">
        <v>1680</v>
      </c>
      <c r="C343" s="12" t="s">
        <v>1848</v>
      </c>
      <c r="D343" s="12" t="s">
        <v>1854</v>
      </c>
      <c r="E343" s="12" t="s">
        <v>1855</v>
      </c>
      <c r="F343" s="12" t="s">
        <v>48</v>
      </c>
      <c r="G343" s="12" t="s">
        <v>1856</v>
      </c>
      <c r="H343" s="12" t="s">
        <v>1857</v>
      </c>
      <c r="I343" s="11" t="s">
        <v>37</v>
      </c>
      <c r="J343" s="8"/>
      <c r="K343" s="8" t="s">
        <v>79</v>
      </c>
      <c r="L343" s="9"/>
      <c r="M343" s="9"/>
      <c r="N343" s="8"/>
      <c r="O343" s="10"/>
    </row>
    <row r="344" spans="1:15" ht="52.8" x14ac:dyDescent="0.3">
      <c r="A344" s="6" t="s">
        <v>1858</v>
      </c>
      <c r="B344" s="7" t="s">
        <v>1680</v>
      </c>
      <c r="C344" s="7" t="s">
        <v>1848</v>
      </c>
      <c r="D344" s="7" t="s">
        <v>1859</v>
      </c>
      <c r="E344" s="7" t="s">
        <v>1860</v>
      </c>
      <c r="F344" s="7" t="s">
        <v>1861</v>
      </c>
      <c r="G344" s="7" t="s">
        <v>1862</v>
      </c>
      <c r="H344" s="7" t="s">
        <v>1863</v>
      </c>
      <c r="I344" s="6" t="s">
        <v>37</v>
      </c>
      <c r="J344" s="8"/>
      <c r="K344" s="8" t="s">
        <v>79</v>
      </c>
      <c r="L344" s="9"/>
      <c r="M344" s="9"/>
      <c r="N344" s="8"/>
      <c r="O344" s="10"/>
    </row>
    <row r="345" spans="1:15" ht="52.8" x14ac:dyDescent="0.3">
      <c r="A345" s="11" t="s">
        <v>1864</v>
      </c>
      <c r="B345" s="12" t="s">
        <v>1680</v>
      </c>
      <c r="C345" s="12" t="s">
        <v>1848</v>
      </c>
      <c r="D345" s="12" t="s">
        <v>1865</v>
      </c>
      <c r="E345" s="12" t="s">
        <v>1866</v>
      </c>
      <c r="F345" s="12" t="s">
        <v>1867</v>
      </c>
      <c r="G345" s="12" t="s">
        <v>1868</v>
      </c>
      <c r="H345" s="12" t="s">
        <v>1869</v>
      </c>
      <c r="I345" s="11" t="s">
        <v>37</v>
      </c>
      <c r="J345" s="8"/>
      <c r="K345" s="8" t="s">
        <v>79</v>
      </c>
      <c r="L345" s="9"/>
      <c r="M345" s="9"/>
      <c r="N345" s="8"/>
      <c r="O345" s="10"/>
    </row>
    <row r="346" spans="1:15" ht="52.8" x14ac:dyDescent="0.3">
      <c r="A346" s="6" t="s">
        <v>1870</v>
      </c>
      <c r="B346" s="7" t="s">
        <v>1680</v>
      </c>
      <c r="C346" s="7" t="s">
        <v>1848</v>
      </c>
      <c r="D346" s="7" t="s">
        <v>1871</v>
      </c>
      <c r="E346" s="7" t="s">
        <v>1872</v>
      </c>
      <c r="F346" s="7" t="s">
        <v>1867</v>
      </c>
      <c r="G346" s="7" t="s">
        <v>1873</v>
      </c>
      <c r="H346" s="7" t="s">
        <v>1874</v>
      </c>
      <c r="I346" s="6" t="s">
        <v>37</v>
      </c>
      <c r="J346" s="8"/>
      <c r="K346" s="8" t="s">
        <v>79</v>
      </c>
      <c r="L346" s="9"/>
      <c r="M346" s="9"/>
      <c r="N346" s="8"/>
      <c r="O346" s="10"/>
    </row>
    <row r="347" spans="1:15" ht="52.8" x14ac:dyDescent="0.3">
      <c r="A347" s="11" t="s">
        <v>1875</v>
      </c>
      <c r="B347" s="12" t="s">
        <v>1680</v>
      </c>
      <c r="C347" s="12" t="s">
        <v>1876</v>
      </c>
      <c r="D347" s="12" t="s">
        <v>1877</v>
      </c>
      <c r="E347" s="12" t="s">
        <v>1878</v>
      </c>
      <c r="F347" s="12" t="s">
        <v>219</v>
      </c>
      <c r="G347" s="12" t="s">
        <v>1879</v>
      </c>
      <c r="H347" s="12" t="s">
        <v>1880</v>
      </c>
      <c r="I347" s="11" t="s">
        <v>37</v>
      </c>
      <c r="J347" s="8"/>
      <c r="K347" s="8" t="s">
        <v>79</v>
      </c>
      <c r="L347" s="9"/>
      <c r="M347" s="9"/>
      <c r="N347" s="8"/>
      <c r="O347" s="10"/>
    </row>
    <row r="348" spans="1:15" ht="52.8" x14ac:dyDescent="0.3">
      <c r="A348" s="6" t="s">
        <v>1881</v>
      </c>
      <c r="B348" s="7" t="s">
        <v>1680</v>
      </c>
      <c r="C348" s="7" t="s">
        <v>1876</v>
      </c>
      <c r="D348" s="7" t="s">
        <v>1882</v>
      </c>
      <c r="E348" s="7" t="s">
        <v>1883</v>
      </c>
      <c r="F348" s="7" t="s">
        <v>1884</v>
      </c>
      <c r="G348" s="7" t="s">
        <v>1885</v>
      </c>
      <c r="H348" s="7" t="s">
        <v>1886</v>
      </c>
      <c r="I348" s="6" t="s">
        <v>37</v>
      </c>
      <c r="J348" s="8"/>
      <c r="K348" s="8" t="s">
        <v>79</v>
      </c>
      <c r="L348" s="9"/>
      <c r="M348" s="9"/>
      <c r="N348" s="8"/>
      <c r="O348" s="10"/>
    </row>
    <row r="349" spans="1:15" ht="39.6" x14ac:dyDescent="0.3">
      <c r="A349" s="11" t="s">
        <v>1887</v>
      </c>
      <c r="B349" s="12" t="s">
        <v>1680</v>
      </c>
      <c r="C349" s="12" t="s">
        <v>1876</v>
      </c>
      <c r="D349" s="12" t="s">
        <v>1888</v>
      </c>
      <c r="E349" s="12" t="s">
        <v>1889</v>
      </c>
      <c r="F349" s="12" t="s">
        <v>219</v>
      </c>
      <c r="G349" s="12" t="s">
        <v>1890</v>
      </c>
      <c r="H349" s="12" t="s">
        <v>1891</v>
      </c>
      <c r="I349" s="11" t="s">
        <v>37</v>
      </c>
      <c r="J349" s="8"/>
      <c r="K349" s="8" t="s">
        <v>79</v>
      </c>
      <c r="L349" s="9"/>
      <c r="M349" s="9"/>
      <c r="N349" s="8"/>
      <c r="O349" s="10"/>
    </row>
    <row r="350" spans="1:15" ht="52.8" x14ac:dyDescent="0.3">
      <c r="A350" s="6" t="s">
        <v>1892</v>
      </c>
      <c r="B350" s="7" t="s">
        <v>1680</v>
      </c>
      <c r="C350" s="7" t="s">
        <v>1893</v>
      </c>
      <c r="D350" s="7" t="s">
        <v>1894</v>
      </c>
      <c r="E350" s="7" t="s">
        <v>1895</v>
      </c>
      <c r="F350" s="7" t="s">
        <v>1531</v>
      </c>
      <c r="G350" s="7" t="s">
        <v>1199</v>
      </c>
      <c r="H350" s="7" t="s">
        <v>1896</v>
      </c>
      <c r="I350" s="6" t="s">
        <v>37</v>
      </c>
      <c r="J350" s="8"/>
      <c r="K350" s="8" t="s">
        <v>79</v>
      </c>
      <c r="L350" s="9"/>
      <c r="M350" s="9"/>
      <c r="N350" s="8"/>
      <c r="O350" s="10"/>
    </row>
    <row r="351" spans="1:15" ht="52.8" x14ac:dyDescent="0.3">
      <c r="A351" s="11" t="s">
        <v>1897</v>
      </c>
      <c r="B351" s="12" t="s">
        <v>1680</v>
      </c>
      <c r="C351" s="12" t="s">
        <v>1893</v>
      </c>
      <c r="D351" s="12" t="s">
        <v>1898</v>
      </c>
      <c r="E351" s="12" t="s">
        <v>1899</v>
      </c>
      <c r="F351" s="12" t="s">
        <v>1531</v>
      </c>
      <c r="G351" s="12" t="s">
        <v>1900</v>
      </c>
      <c r="H351" s="12" t="s">
        <v>1901</v>
      </c>
      <c r="I351" s="11" t="s">
        <v>37</v>
      </c>
      <c r="J351" s="8"/>
      <c r="K351" s="8" t="s">
        <v>79</v>
      </c>
      <c r="L351" s="9"/>
      <c r="M351" s="9"/>
      <c r="N351" s="8"/>
      <c r="O351" s="10"/>
    </row>
    <row r="352" spans="1:15" ht="39.6" x14ac:dyDescent="0.3">
      <c r="A352" s="6" t="s">
        <v>1902</v>
      </c>
      <c r="B352" s="7" t="s">
        <v>1680</v>
      </c>
      <c r="C352" s="7" t="s">
        <v>1893</v>
      </c>
      <c r="D352" s="7" t="s">
        <v>1903</v>
      </c>
      <c r="E352" s="7" t="s">
        <v>1904</v>
      </c>
      <c r="F352" s="7" t="s">
        <v>1531</v>
      </c>
      <c r="G352" s="7" t="s">
        <v>1905</v>
      </c>
      <c r="H352" s="7" t="s">
        <v>1906</v>
      </c>
      <c r="I352" s="6" t="s">
        <v>37</v>
      </c>
      <c r="J352" s="8"/>
      <c r="K352" s="8" t="s">
        <v>79</v>
      </c>
      <c r="L352" s="9"/>
      <c r="M352" s="9"/>
      <c r="N352" s="8"/>
      <c r="O352" s="10"/>
    </row>
    <row r="353" spans="1:15" ht="39.6" x14ac:dyDescent="0.3">
      <c r="A353" s="11" t="s">
        <v>1907</v>
      </c>
      <c r="B353" s="12" t="s">
        <v>1680</v>
      </c>
      <c r="C353" s="12" t="s">
        <v>1893</v>
      </c>
      <c r="D353" s="12" t="s">
        <v>1908</v>
      </c>
      <c r="E353" s="12" t="s">
        <v>1909</v>
      </c>
      <c r="F353" s="12" t="s">
        <v>1416</v>
      </c>
      <c r="G353" s="12" t="s">
        <v>1910</v>
      </c>
      <c r="H353" s="12" t="s">
        <v>1911</v>
      </c>
      <c r="I353" s="11" t="s">
        <v>37</v>
      </c>
      <c r="J353" s="8"/>
      <c r="K353" s="8" t="s">
        <v>79</v>
      </c>
      <c r="L353" s="9"/>
      <c r="M353" s="9"/>
      <c r="N353" s="8"/>
      <c r="O353" s="10"/>
    </row>
    <row r="354" spans="1:15" ht="26.4" x14ac:dyDescent="0.3">
      <c r="A354" s="6" t="s">
        <v>1912</v>
      </c>
      <c r="B354" s="7" t="s">
        <v>1680</v>
      </c>
      <c r="C354" s="7" t="s">
        <v>1893</v>
      </c>
      <c r="D354" s="7" t="s">
        <v>1208</v>
      </c>
      <c r="E354" s="7" t="s">
        <v>1913</v>
      </c>
      <c r="F354" s="7" t="s">
        <v>1416</v>
      </c>
      <c r="G354" s="7" t="s">
        <v>1914</v>
      </c>
      <c r="H354" s="7" t="s">
        <v>1915</v>
      </c>
      <c r="I354" s="6" t="s">
        <v>37</v>
      </c>
      <c r="J354" s="8"/>
      <c r="K354" s="8" t="s">
        <v>79</v>
      </c>
      <c r="L354" s="9"/>
      <c r="M354" s="9"/>
      <c r="N354" s="8"/>
      <c r="O354" s="10"/>
    </row>
    <row r="355" spans="1:15" ht="66" x14ac:dyDescent="0.3">
      <c r="A355" s="11" t="s">
        <v>1916</v>
      </c>
      <c r="B355" s="12" t="s">
        <v>1680</v>
      </c>
      <c r="C355" s="12" t="s">
        <v>1917</v>
      </c>
      <c r="D355" s="12" t="s">
        <v>1918</v>
      </c>
      <c r="E355" s="12" t="s">
        <v>1919</v>
      </c>
      <c r="F355" s="12" t="s">
        <v>1531</v>
      </c>
      <c r="G355" s="12" t="s">
        <v>1920</v>
      </c>
      <c r="H355" s="12" t="s">
        <v>1921</v>
      </c>
      <c r="I355" s="11" t="s">
        <v>37</v>
      </c>
      <c r="J355" s="8"/>
      <c r="K355" s="8" t="s">
        <v>79</v>
      </c>
      <c r="L355" s="9"/>
      <c r="M355" s="9"/>
      <c r="N355" s="8"/>
      <c r="O355" s="10"/>
    </row>
    <row r="356" spans="1:15" ht="52.8" x14ac:dyDescent="0.3">
      <c r="A356" s="6" t="s">
        <v>1922</v>
      </c>
      <c r="B356" s="7" t="s">
        <v>1680</v>
      </c>
      <c r="C356" s="7" t="s">
        <v>1917</v>
      </c>
      <c r="D356" s="7" t="s">
        <v>1923</v>
      </c>
      <c r="E356" s="7" t="s">
        <v>1924</v>
      </c>
      <c r="F356" s="7" t="s">
        <v>1531</v>
      </c>
      <c r="G356" s="7" t="s">
        <v>1240</v>
      </c>
      <c r="H356" s="7" t="s">
        <v>1925</v>
      </c>
      <c r="I356" s="6" t="s">
        <v>37</v>
      </c>
      <c r="J356" s="8"/>
      <c r="K356" s="8" t="s">
        <v>79</v>
      </c>
      <c r="L356" s="9"/>
      <c r="M356" s="9"/>
      <c r="N356" s="8"/>
      <c r="O356" s="10"/>
    </row>
    <row r="357" spans="1:15" ht="52.8" x14ac:dyDescent="0.3">
      <c r="A357" s="11" t="s">
        <v>1926</v>
      </c>
      <c r="B357" s="12" t="s">
        <v>1680</v>
      </c>
      <c r="C357" s="12" t="s">
        <v>1917</v>
      </c>
      <c r="D357" s="12" t="s">
        <v>1927</v>
      </c>
      <c r="E357" s="12" t="s">
        <v>1928</v>
      </c>
      <c r="F357" s="12" t="s">
        <v>1531</v>
      </c>
      <c r="G357" s="12" t="s">
        <v>1929</v>
      </c>
      <c r="H357" s="12" t="s">
        <v>1930</v>
      </c>
      <c r="I357" s="11" t="s">
        <v>37</v>
      </c>
      <c r="J357" s="8"/>
      <c r="K357" s="8" t="s">
        <v>79</v>
      </c>
      <c r="L357" s="9"/>
      <c r="M357" s="9"/>
      <c r="N357" s="8"/>
      <c r="O357" s="10"/>
    </row>
    <row r="358" spans="1:15" ht="66" x14ac:dyDescent="0.3">
      <c r="A358" s="6" t="s">
        <v>1931</v>
      </c>
      <c r="B358" s="7" t="s">
        <v>1680</v>
      </c>
      <c r="C358" s="7" t="s">
        <v>1917</v>
      </c>
      <c r="D358" s="7" t="s">
        <v>1932</v>
      </c>
      <c r="E358" s="7" t="s">
        <v>1933</v>
      </c>
      <c r="F358" s="7" t="s">
        <v>1531</v>
      </c>
      <c r="G358" s="7" t="s">
        <v>1934</v>
      </c>
      <c r="H358" s="7" t="s">
        <v>1935</v>
      </c>
      <c r="I358" s="6" t="s">
        <v>37</v>
      </c>
      <c r="J358" s="8"/>
      <c r="K358" s="8" t="s">
        <v>79</v>
      </c>
      <c r="L358" s="9"/>
      <c r="M358" s="9"/>
      <c r="N358" s="8"/>
      <c r="O358" s="10"/>
    </row>
    <row r="359" spans="1:15" ht="52.8" x14ac:dyDescent="0.3">
      <c r="A359" s="11" t="s">
        <v>1936</v>
      </c>
      <c r="B359" s="12" t="s">
        <v>1680</v>
      </c>
      <c r="C359" s="12" t="s">
        <v>1937</v>
      </c>
      <c r="D359" s="12" t="s">
        <v>1938</v>
      </c>
      <c r="E359" s="12" t="s">
        <v>1939</v>
      </c>
      <c r="F359" s="12" t="s">
        <v>48</v>
      </c>
      <c r="G359" s="12" t="s">
        <v>1940</v>
      </c>
      <c r="H359" s="12" t="s">
        <v>1941</v>
      </c>
      <c r="I359" s="11" t="s">
        <v>45</v>
      </c>
      <c r="J359" s="8"/>
      <c r="K359" s="8" t="s">
        <v>275</v>
      </c>
      <c r="L359" s="9"/>
      <c r="M359" s="9"/>
      <c r="N359" s="8"/>
      <c r="O359" s="10"/>
    </row>
    <row r="360" spans="1:15" ht="105.6" x14ac:dyDescent="0.3">
      <c r="A360" s="6" t="s">
        <v>1942</v>
      </c>
      <c r="B360" s="7" t="s">
        <v>1680</v>
      </c>
      <c r="C360" s="7" t="s">
        <v>1943</v>
      </c>
      <c r="D360" s="7" t="s">
        <v>1944</v>
      </c>
      <c r="E360" s="7" t="s">
        <v>1945</v>
      </c>
      <c r="F360" s="7" t="s">
        <v>1946</v>
      </c>
      <c r="G360" s="7" t="s">
        <v>1947</v>
      </c>
      <c r="H360" s="7" t="s">
        <v>1948</v>
      </c>
      <c r="I360" s="6" t="s">
        <v>45</v>
      </c>
      <c r="J360" s="8"/>
      <c r="K360" s="8" t="s">
        <v>275</v>
      </c>
      <c r="L360" s="9"/>
      <c r="M360" s="9"/>
      <c r="N360" s="8"/>
      <c r="O360" s="10"/>
    </row>
    <row r="361" spans="1:15" ht="79.2" x14ac:dyDescent="0.3">
      <c r="A361" s="11" t="s">
        <v>1949</v>
      </c>
      <c r="B361" s="12" t="s">
        <v>1680</v>
      </c>
      <c r="C361" s="12" t="s">
        <v>1950</v>
      </c>
      <c r="D361" s="12" t="s">
        <v>1951</v>
      </c>
      <c r="E361" s="12" t="s">
        <v>1952</v>
      </c>
      <c r="F361" s="12" t="s">
        <v>76</v>
      </c>
      <c r="G361" s="12" t="s">
        <v>1953</v>
      </c>
      <c r="H361" s="12" t="s">
        <v>1954</v>
      </c>
      <c r="I361" s="11" t="s">
        <v>37</v>
      </c>
      <c r="J361" s="8"/>
      <c r="K361" s="8" t="s">
        <v>79</v>
      </c>
      <c r="L361" s="9"/>
      <c r="M361" s="9"/>
      <c r="N361" s="8"/>
      <c r="O361" s="10"/>
    </row>
    <row r="362" spans="1:15" ht="52.8" x14ac:dyDescent="0.3">
      <c r="A362" s="6" t="s">
        <v>1955</v>
      </c>
      <c r="B362" s="7" t="s">
        <v>1956</v>
      </c>
      <c r="C362" s="7" t="s">
        <v>1957</v>
      </c>
      <c r="D362" s="7" t="s">
        <v>1958</v>
      </c>
      <c r="E362" s="7" t="s">
        <v>1959</v>
      </c>
      <c r="F362" s="7" t="s">
        <v>1960</v>
      </c>
      <c r="G362" s="7" t="s">
        <v>77</v>
      </c>
      <c r="H362" s="7" t="s">
        <v>1961</v>
      </c>
      <c r="I362" s="6" t="s">
        <v>37</v>
      </c>
      <c r="J362" s="8"/>
      <c r="K362" s="8" t="s">
        <v>79</v>
      </c>
      <c r="L362" s="9"/>
      <c r="M362" s="9"/>
      <c r="N362" s="8"/>
      <c r="O362" s="10"/>
    </row>
    <row r="363" spans="1:15" ht="92.4" x14ac:dyDescent="0.3">
      <c r="A363" s="11" t="s">
        <v>1962</v>
      </c>
      <c r="B363" s="12" t="s">
        <v>1956</v>
      </c>
      <c r="C363" s="12" t="s">
        <v>1963</v>
      </c>
      <c r="D363" s="12" t="s">
        <v>1964</v>
      </c>
      <c r="E363" s="12" t="s">
        <v>1965</v>
      </c>
      <c r="F363" s="12" t="s">
        <v>1960</v>
      </c>
      <c r="G363" s="12" t="s">
        <v>1966</v>
      </c>
      <c r="H363" s="12" t="s">
        <v>1967</v>
      </c>
      <c r="I363" s="11" t="s">
        <v>37</v>
      </c>
      <c r="J363" s="8"/>
      <c r="K363" s="8" t="s">
        <v>79</v>
      </c>
      <c r="L363" s="9"/>
      <c r="M363" s="9"/>
      <c r="N363" s="8"/>
      <c r="O363" s="10"/>
    </row>
    <row r="364" spans="1:15" ht="52.8" x14ac:dyDescent="0.3">
      <c r="A364" s="6" t="s">
        <v>1968</v>
      </c>
      <c r="B364" s="7" t="s">
        <v>1956</v>
      </c>
      <c r="C364" s="7" t="s">
        <v>1969</v>
      </c>
      <c r="D364" s="7" t="s">
        <v>1970</v>
      </c>
      <c r="E364" s="7" t="s">
        <v>1971</v>
      </c>
      <c r="F364" s="7" t="s">
        <v>1972</v>
      </c>
      <c r="G364" s="7" t="s">
        <v>77</v>
      </c>
      <c r="H364" s="7" t="s">
        <v>1973</v>
      </c>
      <c r="I364" s="6" t="s">
        <v>37</v>
      </c>
      <c r="J364" s="8"/>
      <c r="K364" s="8" t="s">
        <v>79</v>
      </c>
      <c r="L364" s="9"/>
      <c r="M364" s="9"/>
      <c r="N364" s="8"/>
      <c r="O364" s="10"/>
    </row>
    <row r="365" spans="1:15" ht="52.8" x14ac:dyDescent="0.3">
      <c r="A365" s="11" t="s">
        <v>1974</v>
      </c>
      <c r="B365" s="12" t="s">
        <v>1956</v>
      </c>
      <c r="C365" s="12" t="s">
        <v>1969</v>
      </c>
      <c r="D365" s="12" t="s">
        <v>1975</v>
      </c>
      <c r="E365" s="12" t="s">
        <v>1976</v>
      </c>
      <c r="F365" s="12" t="s">
        <v>1972</v>
      </c>
      <c r="G365" s="12" t="s">
        <v>77</v>
      </c>
      <c r="H365" s="12" t="s">
        <v>1977</v>
      </c>
      <c r="I365" s="11" t="s">
        <v>37</v>
      </c>
      <c r="J365" s="8"/>
      <c r="K365" s="8" t="s">
        <v>79</v>
      </c>
      <c r="L365" s="9"/>
      <c r="M365" s="9"/>
      <c r="N365" s="8"/>
      <c r="O365" s="10"/>
    </row>
    <row r="366" spans="1:15" ht="39.6" x14ac:dyDescent="0.3">
      <c r="A366" s="6" t="s">
        <v>1978</v>
      </c>
      <c r="B366" s="7" t="s">
        <v>1956</v>
      </c>
      <c r="C366" s="7" t="s">
        <v>1969</v>
      </c>
      <c r="D366" s="7" t="s">
        <v>1979</v>
      </c>
      <c r="E366" s="7" t="s">
        <v>1980</v>
      </c>
      <c r="F366" s="7" t="s">
        <v>76</v>
      </c>
      <c r="G366" s="7" t="s">
        <v>1981</v>
      </c>
      <c r="H366" s="7" t="s">
        <v>1982</v>
      </c>
      <c r="I366" s="6" t="s">
        <v>37</v>
      </c>
      <c r="J366" s="8"/>
      <c r="K366" s="8" t="s">
        <v>79</v>
      </c>
      <c r="L366" s="9"/>
      <c r="M366" s="9"/>
      <c r="N366" s="8"/>
      <c r="O366" s="10"/>
    </row>
    <row r="367" spans="1:15" ht="26.4" x14ac:dyDescent="0.3">
      <c r="A367" s="11" t="s">
        <v>1983</v>
      </c>
      <c r="B367" s="12" t="s">
        <v>1956</v>
      </c>
      <c r="C367" s="12" t="s">
        <v>1969</v>
      </c>
      <c r="D367" s="12" t="s">
        <v>1984</v>
      </c>
      <c r="E367" s="12" t="s">
        <v>1985</v>
      </c>
      <c r="F367" s="12" t="s">
        <v>1972</v>
      </c>
      <c r="G367" s="12" t="s">
        <v>1986</v>
      </c>
      <c r="H367" s="12" t="s">
        <v>1987</v>
      </c>
      <c r="I367" s="11" t="s">
        <v>37</v>
      </c>
      <c r="J367" s="8"/>
      <c r="K367" s="8" t="s">
        <v>79</v>
      </c>
      <c r="L367" s="9"/>
      <c r="M367" s="9"/>
      <c r="N367" s="8"/>
      <c r="O367" s="10"/>
    </row>
    <row r="368" spans="1:15" ht="26.4" x14ac:dyDescent="0.3">
      <c r="A368" s="6" t="s">
        <v>1988</v>
      </c>
      <c r="B368" s="7" t="s">
        <v>1956</v>
      </c>
      <c r="C368" s="7" t="s">
        <v>1969</v>
      </c>
      <c r="D368" s="7" t="s">
        <v>563</v>
      </c>
      <c r="E368" s="7" t="s">
        <v>1989</v>
      </c>
      <c r="F368" s="7" t="s">
        <v>1972</v>
      </c>
      <c r="G368" s="7" t="s">
        <v>77</v>
      </c>
      <c r="H368" s="7" t="s">
        <v>1990</v>
      </c>
      <c r="I368" s="6" t="s">
        <v>37</v>
      </c>
      <c r="J368" s="8"/>
      <c r="K368" s="8" t="s">
        <v>79</v>
      </c>
      <c r="L368" s="9"/>
      <c r="M368" s="9"/>
      <c r="N368" s="8"/>
      <c r="O368" s="10"/>
    </row>
    <row r="369" spans="1:15" ht="26.4" x14ac:dyDescent="0.3">
      <c r="A369" s="11" t="s">
        <v>1991</v>
      </c>
      <c r="B369" s="12" t="s">
        <v>1956</v>
      </c>
      <c r="C369" s="12" t="s">
        <v>1992</v>
      </c>
      <c r="D369" s="12" t="s">
        <v>1993</v>
      </c>
      <c r="E369" s="12" t="s">
        <v>1994</v>
      </c>
      <c r="F369" s="12" t="s">
        <v>1972</v>
      </c>
      <c r="G369" s="12" t="s">
        <v>77</v>
      </c>
      <c r="H369" s="12" t="s">
        <v>1995</v>
      </c>
      <c r="I369" s="11" t="s">
        <v>37</v>
      </c>
      <c r="J369" s="8"/>
      <c r="K369" s="8" t="s">
        <v>79</v>
      </c>
      <c r="L369" s="9"/>
      <c r="M369" s="9"/>
      <c r="N369" s="8"/>
      <c r="O369" s="10"/>
    </row>
    <row r="370" spans="1:15" ht="39.6" x14ac:dyDescent="0.3">
      <c r="A370" s="6" t="s">
        <v>1996</v>
      </c>
      <c r="B370" s="7" t="s">
        <v>1956</v>
      </c>
      <c r="C370" s="7" t="s">
        <v>1992</v>
      </c>
      <c r="D370" s="7" t="s">
        <v>1997</v>
      </c>
      <c r="E370" s="7" t="s">
        <v>1998</v>
      </c>
      <c r="F370" s="7" t="s">
        <v>1972</v>
      </c>
      <c r="G370" s="7" t="s">
        <v>77</v>
      </c>
      <c r="H370" s="7" t="s">
        <v>1999</v>
      </c>
      <c r="I370" s="6" t="s">
        <v>37</v>
      </c>
      <c r="J370" s="8"/>
      <c r="K370" s="8" t="s">
        <v>79</v>
      </c>
      <c r="L370" s="9"/>
      <c r="M370" s="9"/>
      <c r="N370" s="8"/>
      <c r="O370" s="10"/>
    </row>
    <row r="371" spans="1:15" ht="39.6" x14ac:dyDescent="0.3">
      <c r="A371" s="11" t="s">
        <v>2000</v>
      </c>
      <c r="B371" s="12" t="s">
        <v>1956</v>
      </c>
      <c r="C371" s="12" t="s">
        <v>1992</v>
      </c>
      <c r="D371" s="12" t="s">
        <v>2001</v>
      </c>
      <c r="E371" s="12" t="s">
        <v>2002</v>
      </c>
      <c r="F371" s="12" t="s">
        <v>1972</v>
      </c>
      <c r="G371" s="12" t="s">
        <v>77</v>
      </c>
      <c r="H371" s="12" t="s">
        <v>2003</v>
      </c>
      <c r="I371" s="11" t="s">
        <v>37</v>
      </c>
      <c r="J371" s="8"/>
      <c r="K371" s="8" t="s">
        <v>79</v>
      </c>
      <c r="L371" s="9"/>
      <c r="M371" s="9"/>
      <c r="N371" s="8"/>
      <c r="O371" s="10"/>
    </row>
    <row r="372" spans="1:15" ht="39.6" x14ac:dyDescent="0.3">
      <c r="A372" s="6" t="s">
        <v>2004</v>
      </c>
      <c r="B372" s="7" t="s">
        <v>1956</v>
      </c>
      <c r="C372" s="7" t="s">
        <v>1992</v>
      </c>
      <c r="D372" s="7" t="s">
        <v>2005</v>
      </c>
      <c r="E372" s="7" t="s">
        <v>2006</v>
      </c>
      <c r="F372" s="7" t="s">
        <v>1972</v>
      </c>
      <c r="G372" s="7" t="s">
        <v>77</v>
      </c>
      <c r="H372" s="7" t="s">
        <v>2007</v>
      </c>
      <c r="I372" s="6" t="s">
        <v>37</v>
      </c>
      <c r="J372" s="8"/>
      <c r="K372" s="8" t="s">
        <v>79</v>
      </c>
      <c r="L372" s="9"/>
      <c r="M372" s="9"/>
      <c r="N372" s="8"/>
      <c r="O372" s="10"/>
    </row>
    <row r="373" spans="1:15" ht="26.4" x14ac:dyDescent="0.3">
      <c r="A373" s="11" t="s">
        <v>2008</v>
      </c>
      <c r="B373" s="12" t="s">
        <v>1956</v>
      </c>
      <c r="C373" s="12" t="s">
        <v>1992</v>
      </c>
      <c r="D373" s="12" t="s">
        <v>2009</v>
      </c>
      <c r="E373" s="12" t="s">
        <v>2010</v>
      </c>
      <c r="F373" s="12" t="s">
        <v>1972</v>
      </c>
      <c r="G373" s="12" t="s">
        <v>77</v>
      </c>
      <c r="H373" s="12" t="s">
        <v>2011</v>
      </c>
      <c r="I373" s="11" t="s">
        <v>37</v>
      </c>
      <c r="J373" s="8"/>
      <c r="K373" s="8" t="s">
        <v>79</v>
      </c>
      <c r="L373" s="9"/>
      <c r="M373" s="9"/>
      <c r="N373" s="8"/>
      <c r="O373" s="10"/>
    </row>
    <row r="374" spans="1:15" ht="26.4" x14ac:dyDescent="0.3">
      <c r="A374" s="6" t="s">
        <v>2012</v>
      </c>
      <c r="B374" s="7" t="s">
        <v>1956</v>
      </c>
      <c r="C374" s="7" t="s">
        <v>1992</v>
      </c>
      <c r="D374" s="7" t="s">
        <v>2013</v>
      </c>
      <c r="E374" s="7" t="s">
        <v>2014</v>
      </c>
      <c r="F374" s="7" t="s">
        <v>916</v>
      </c>
      <c r="G374" s="7" t="s">
        <v>77</v>
      </c>
      <c r="H374" s="7" t="s">
        <v>2015</v>
      </c>
      <c r="I374" s="6" t="s">
        <v>37</v>
      </c>
      <c r="J374" s="8"/>
      <c r="K374" s="8" t="s">
        <v>79</v>
      </c>
      <c r="L374" s="9"/>
      <c r="M374" s="9"/>
      <c r="N374" s="8"/>
      <c r="O374" s="10"/>
    </row>
    <row r="375" spans="1:15" ht="39.6" x14ac:dyDescent="0.3">
      <c r="A375" s="11" t="s">
        <v>2016</v>
      </c>
      <c r="B375" s="12" t="s">
        <v>1956</v>
      </c>
      <c r="C375" s="12" t="s">
        <v>2017</v>
      </c>
      <c r="D375" s="12" t="s">
        <v>2018</v>
      </c>
      <c r="E375" s="12" t="s">
        <v>2019</v>
      </c>
      <c r="F375" s="12" t="s">
        <v>1972</v>
      </c>
      <c r="G375" s="12" t="s">
        <v>2020</v>
      </c>
      <c r="H375" s="12" t="s">
        <v>2021</v>
      </c>
      <c r="I375" s="11" t="s">
        <v>37</v>
      </c>
      <c r="J375" s="8"/>
      <c r="K375" s="8" t="s">
        <v>79</v>
      </c>
      <c r="L375" s="9"/>
      <c r="M375" s="9"/>
      <c r="N375" s="8"/>
      <c r="O375" s="10"/>
    </row>
    <row r="376" spans="1:15" ht="39.6" x14ac:dyDescent="0.3">
      <c r="A376" s="6" t="s">
        <v>2022</v>
      </c>
      <c r="B376" s="7" t="s">
        <v>1956</v>
      </c>
      <c r="C376" s="7" t="s">
        <v>2017</v>
      </c>
      <c r="D376" s="7" t="s">
        <v>2023</v>
      </c>
      <c r="E376" s="7" t="s">
        <v>2024</v>
      </c>
      <c r="F376" s="7" t="s">
        <v>1972</v>
      </c>
      <c r="G376" s="7" t="s">
        <v>2025</v>
      </c>
      <c r="H376" s="7" t="s">
        <v>2026</v>
      </c>
      <c r="I376" s="6" t="s">
        <v>37</v>
      </c>
      <c r="J376" s="8"/>
      <c r="K376" s="8" t="s">
        <v>79</v>
      </c>
      <c r="L376" s="9"/>
      <c r="M376" s="9"/>
      <c r="N376" s="8"/>
      <c r="O376" s="10"/>
    </row>
    <row r="377" spans="1:15" ht="66" x14ac:dyDescent="0.3">
      <c r="A377" s="11" t="s">
        <v>2027</v>
      </c>
      <c r="B377" s="12" t="s">
        <v>1956</v>
      </c>
      <c r="C377" s="12" t="s">
        <v>2028</v>
      </c>
      <c r="D377" s="12" t="s">
        <v>2029</v>
      </c>
      <c r="E377" s="12" t="s">
        <v>2030</v>
      </c>
      <c r="F377" s="12" t="s">
        <v>916</v>
      </c>
      <c r="G377" s="12" t="s">
        <v>2031</v>
      </c>
      <c r="H377" s="12" t="s">
        <v>2032</v>
      </c>
      <c r="I377" s="11" t="s">
        <v>37</v>
      </c>
      <c r="J377" s="8"/>
      <c r="K377" s="8" t="s">
        <v>79</v>
      </c>
      <c r="L377" s="9"/>
      <c r="M377" s="9"/>
      <c r="N377" s="8"/>
      <c r="O377" s="10"/>
    </row>
    <row r="378" spans="1:15" ht="26.4" x14ac:dyDescent="0.3">
      <c r="A378" s="6" t="s">
        <v>2033</v>
      </c>
      <c r="B378" s="7" t="s">
        <v>1956</v>
      </c>
      <c r="C378" s="7" t="s">
        <v>2028</v>
      </c>
      <c r="D378" s="7" t="s">
        <v>2034</v>
      </c>
      <c r="E378" s="7" t="s">
        <v>2035</v>
      </c>
      <c r="F378" s="7" t="s">
        <v>2036</v>
      </c>
      <c r="G378" s="7" t="s">
        <v>2037</v>
      </c>
      <c r="H378" s="7" t="s">
        <v>2038</v>
      </c>
      <c r="I378" s="6" t="s">
        <v>37</v>
      </c>
      <c r="J378" s="8"/>
      <c r="K378" s="8" t="s">
        <v>79</v>
      </c>
      <c r="L378" s="9"/>
      <c r="M378" s="9"/>
      <c r="N378" s="8"/>
      <c r="O378" s="10"/>
    </row>
    <row r="379" spans="1:15" ht="52.8" x14ac:dyDescent="0.3">
      <c r="A379" s="11" t="s">
        <v>2039</v>
      </c>
      <c r="B379" s="12" t="s">
        <v>1956</v>
      </c>
      <c r="C379" s="12" t="s">
        <v>1992</v>
      </c>
      <c r="D379" s="12" t="s">
        <v>2040</v>
      </c>
      <c r="E379" s="12" t="s">
        <v>2041</v>
      </c>
      <c r="F379" s="12" t="s">
        <v>2042</v>
      </c>
      <c r="G379" s="12" t="s">
        <v>2043</v>
      </c>
      <c r="H379" s="12" t="s">
        <v>2044</v>
      </c>
      <c r="I379" s="11" t="s">
        <v>37</v>
      </c>
      <c r="J379" s="8"/>
      <c r="K379" s="8" t="s">
        <v>79</v>
      </c>
      <c r="L379" s="9"/>
      <c r="M379" s="9"/>
      <c r="N379" s="8"/>
      <c r="O379" s="10"/>
    </row>
    <row r="380" spans="1:15" ht="26.4" x14ac:dyDescent="0.3">
      <c r="A380" s="6" t="s">
        <v>2045</v>
      </c>
      <c r="B380" s="7" t="s">
        <v>1956</v>
      </c>
      <c r="C380" s="7" t="s">
        <v>2046</v>
      </c>
      <c r="D380" s="7" t="s">
        <v>2047</v>
      </c>
      <c r="E380" s="7" t="s">
        <v>2048</v>
      </c>
      <c r="F380" s="7" t="s">
        <v>916</v>
      </c>
      <c r="G380" s="7" t="s">
        <v>2049</v>
      </c>
      <c r="H380" s="7" t="s">
        <v>2050</v>
      </c>
      <c r="I380" s="6" t="s">
        <v>37</v>
      </c>
      <c r="J380" s="8"/>
      <c r="K380" s="8" t="s">
        <v>79</v>
      </c>
      <c r="L380" s="9"/>
      <c r="M380" s="9"/>
      <c r="N380" s="8"/>
      <c r="O380" s="10"/>
    </row>
    <row r="381" spans="1:15" ht="66" x14ac:dyDescent="0.3">
      <c r="A381" s="11" t="s">
        <v>2051</v>
      </c>
      <c r="B381" s="12" t="s">
        <v>1956</v>
      </c>
      <c r="C381" s="12" t="s">
        <v>2052</v>
      </c>
      <c r="D381" s="12" t="s">
        <v>2053</v>
      </c>
      <c r="E381" s="12" t="s">
        <v>2054</v>
      </c>
      <c r="F381" s="12" t="s">
        <v>2055</v>
      </c>
      <c r="G381" s="12" t="s">
        <v>2056</v>
      </c>
      <c r="H381" s="12" t="s">
        <v>2057</v>
      </c>
      <c r="I381" s="11" t="s">
        <v>37</v>
      </c>
      <c r="J381" s="8"/>
      <c r="K381" s="8" t="s">
        <v>79</v>
      </c>
      <c r="L381" s="9"/>
      <c r="M381" s="9"/>
      <c r="N381" s="8"/>
      <c r="O381" s="10"/>
    </row>
    <row r="382" spans="1:15" ht="39.6" x14ac:dyDescent="0.3">
      <c r="A382" s="6" t="s">
        <v>2058</v>
      </c>
      <c r="B382" s="7" t="s">
        <v>1956</v>
      </c>
      <c r="C382" s="7" t="s">
        <v>2059</v>
      </c>
      <c r="D382" s="7" t="s">
        <v>2060</v>
      </c>
      <c r="E382" s="7" t="s">
        <v>2061</v>
      </c>
      <c r="F382" s="7" t="s">
        <v>2062</v>
      </c>
      <c r="G382" s="7" t="s">
        <v>2063</v>
      </c>
      <c r="H382" s="7" t="s">
        <v>2064</v>
      </c>
      <c r="I382" s="6" t="s">
        <v>37</v>
      </c>
      <c r="J382" s="8"/>
      <c r="K382" s="8" t="s">
        <v>79</v>
      </c>
      <c r="L382" s="9"/>
      <c r="M382" s="9"/>
      <c r="N382" s="8"/>
      <c r="O382" s="10"/>
    </row>
    <row r="383" spans="1:15" ht="39.6" x14ac:dyDescent="0.3">
      <c r="A383" s="11" t="s">
        <v>2065</v>
      </c>
      <c r="B383" s="12" t="s">
        <v>1956</v>
      </c>
      <c r="C383" s="12" t="s">
        <v>2066</v>
      </c>
      <c r="D383" s="12" t="s">
        <v>2067</v>
      </c>
      <c r="E383" s="12" t="s">
        <v>2068</v>
      </c>
      <c r="F383" s="12" t="s">
        <v>2069</v>
      </c>
      <c r="G383" s="12" t="s">
        <v>2070</v>
      </c>
      <c r="H383" s="12" t="s">
        <v>2071</v>
      </c>
      <c r="I383" s="11" t="s">
        <v>37</v>
      </c>
      <c r="J383" s="8"/>
      <c r="K383" s="8" t="s">
        <v>79</v>
      </c>
      <c r="L383" s="9"/>
      <c r="M383" s="9"/>
      <c r="N383" s="8"/>
      <c r="O383" s="10"/>
    </row>
    <row r="384" spans="1:15" ht="26.4" x14ac:dyDescent="0.3">
      <c r="A384" s="6" t="s">
        <v>2072</v>
      </c>
      <c r="B384" s="7" t="s">
        <v>1956</v>
      </c>
      <c r="C384" s="7" t="s">
        <v>2073</v>
      </c>
      <c r="D384" s="7" t="s">
        <v>2074</v>
      </c>
      <c r="E384" s="7" t="s">
        <v>2075</v>
      </c>
      <c r="F384" s="7" t="s">
        <v>2036</v>
      </c>
      <c r="G384" s="7" t="s">
        <v>77</v>
      </c>
      <c r="H384" s="7" t="s">
        <v>2076</v>
      </c>
      <c r="I384" s="6" t="s">
        <v>37</v>
      </c>
      <c r="J384" s="8"/>
      <c r="K384" s="8" t="s">
        <v>79</v>
      </c>
      <c r="L384" s="9"/>
      <c r="M384" s="9"/>
      <c r="N384" s="8"/>
      <c r="O384" s="10"/>
    </row>
    <row r="385" spans="1:15" ht="26.4" x14ac:dyDescent="0.3">
      <c r="A385" s="11" t="s">
        <v>2077</v>
      </c>
      <c r="B385" s="12" t="s">
        <v>1956</v>
      </c>
      <c r="C385" s="12" t="s">
        <v>2073</v>
      </c>
      <c r="D385" s="12" t="s">
        <v>2078</v>
      </c>
      <c r="E385" s="12" t="s">
        <v>2079</v>
      </c>
      <c r="F385" s="12" t="s">
        <v>2080</v>
      </c>
      <c r="G385" s="12" t="s">
        <v>2037</v>
      </c>
      <c r="H385" s="12" t="s">
        <v>2081</v>
      </c>
      <c r="I385" s="11" t="s">
        <v>37</v>
      </c>
      <c r="J385" s="8"/>
      <c r="K385" s="8" t="s">
        <v>79</v>
      </c>
      <c r="L385" s="9"/>
      <c r="M385" s="9"/>
      <c r="N385" s="8"/>
      <c r="O385" s="10"/>
    </row>
    <row r="386" spans="1:15" ht="39.6" x14ac:dyDescent="0.3">
      <c r="A386" s="6" t="s">
        <v>2082</v>
      </c>
      <c r="B386" s="7" t="s">
        <v>1956</v>
      </c>
      <c r="C386" s="7" t="s">
        <v>2073</v>
      </c>
      <c r="D386" s="7" t="s">
        <v>2083</v>
      </c>
      <c r="E386" s="7" t="s">
        <v>2084</v>
      </c>
      <c r="F386" s="7" t="s">
        <v>2080</v>
      </c>
      <c r="G386" s="7" t="s">
        <v>2085</v>
      </c>
      <c r="H386" s="7" t="s">
        <v>2086</v>
      </c>
      <c r="I386" s="6" t="s">
        <v>37</v>
      </c>
      <c r="J386" s="8"/>
      <c r="K386" s="8" t="s">
        <v>79</v>
      </c>
      <c r="L386" s="9"/>
      <c r="M386" s="9"/>
      <c r="N386" s="8"/>
      <c r="O386" s="10"/>
    </row>
    <row r="387" spans="1:15" ht="26.4" x14ac:dyDescent="0.3">
      <c r="A387" s="11" t="s">
        <v>2087</v>
      </c>
      <c r="B387" s="12" t="s">
        <v>1956</v>
      </c>
      <c r="C387" s="12" t="s">
        <v>2088</v>
      </c>
      <c r="D387" s="12" t="s">
        <v>2089</v>
      </c>
      <c r="E387" s="12" t="s">
        <v>2090</v>
      </c>
      <c r="F387" s="12" t="s">
        <v>2091</v>
      </c>
      <c r="G387" s="12" t="s">
        <v>2063</v>
      </c>
      <c r="H387" s="12" t="s">
        <v>2092</v>
      </c>
      <c r="I387" s="11" t="s">
        <v>37</v>
      </c>
      <c r="J387" s="8"/>
      <c r="K387" s="8" t="s">
        <v>79</v>
      </c>
      <c r="L387" s="9"/>
      <c r="M387" s="9"/>
      <c r="N387" s="8"/>
      <c r="O387" s="10"/>
    </row>
    <row r="388" spans="1:15" ht="79.2" x14ac:dyDescent="0.3">
      <c r="A388" s="6" t="s">
        <v>2093</v>
      </c>
      <c r="B388" s="7" t="s">
        <v>1956</v>
      </c>
      <c r="C388" s="7" t="s">
        <v>2094</v>
      </c>
      <c r="D388" s="7" t="s">
        <v>2095</v>
      </c>
      <c r="E388" s="7" t="s">
        <v>2096</v>
      </c>
      <c r="F388" s="7" t="s">
        <v>2097</v>
      </c>
      <c r="G388" s="7" t="s">
        <v>2063</v>
      </c>
      <c r="H388" s="7" t="s">
        <v>2098</v>
      </c>
      <c r="I388" s="6" t="s">
        <v>37</v>
      </c>
      <c r="J388" s="8"/>
      <c r="K388" s="8" t="s">
        <v>79</v>
      </c>
      <c r="L388" s="9"/>
      <c r="M388" s="9"/>
      <c r="N388" s="8"/>
      <c r="O388" s="10"/>
    </row>
    <row r="389" spans="1:15" ht="26.4" x14ac:dyDescent="0.3">
      <c r="A389" s="11" t="s">
        <v>2099</v>
      </c>
      <c r="B389" s="12" t="s">
        <v>1956</v>
      </c>
      <c r="C389" s="12" t="s">
        <v>521</v>
      </c>
      <c r="D389" s="12" t="s">
        <v>2100</v>
      </c>
      <c r="E389" s="12" t="s">
        <v>2101</v>
      </c>
      <c r="F389" s="12" t="s">
        <v>2102</v>
      </c>
      <c r="G389" s="12" t="s">
        <v>77</v>
      </c>
      <c r="H389" s="12" t="s">
        <v>2103</v>
      </c>
      <c r="I389" s="11" t="s">
        <v>37</v>
      </c>
      <c r="J389" s="8"/>
      <c r="K389" s="8" t="s">
        <v>79</v>
      </c>
      <c r="L389" s="9"/>
      <c r="M389" s="9"/>
      <c r="N389" s="8"/>
      <c r="O389" s="10"/>
    </row>
    <row r="390" spans="1:15" ht="52.8" x14ac:dyDescent="0.3">
      <c r="A390" s="6" t="s">
        <v>2104</v>
      </c>
      <c r="B390" s="7" t="s">
        <v>1956</v>
      </c>
      <c r="C390" s="7" t="s">
        <v>578</v>
      </c>
      <c r="D390" s="7" t="s">
        <v>2105</v>
      </c>
      <c r="E390" s="7" t="s">
        <v>2106</v>
      </c>
      <c r="F390" s="7" t="s">
        <v>2102</v>
      </c>
      <c r="G390" s="7" t="s">
        <v>2063</v>
      </c>
      <c r="H390" s="7" t="s">
        <v>2107</v>
      </c>
      <c r="I390" s="6" t="s">
        <v>37</v>
      </c>
      <c r="J390" s="8"/>
      <c r="K390" s="8" t="s">
        <v>79</v>
      </c>
      <c r="L390" s="9"/>
      <c r="M390" s="9"/>
      <c r="N390" s="8"/>
      <c r="O390" s="10"/>
    </row>
    <row r="391" spans="1:15" ht="52.8" x14ac:dyDescent="0.3">
      <c r="A391" s="11" t="s">
        <v>2108</v>
      </c>
      <c r="B391" s="12" t="s">
        <v>1956</v>
      </c>
      <c r="C391" s="12" t="s">
        <v>583</v>
      </c>
      <c r="D391" s="12" t="s">
        <v>2109</v>
      </c>
      <c r="E391" s="12" t="s">
        <v>2110</v>
      </c>
      <c r="F391" s="12" t="s">
        <v>2102</v>
      </c>
      <c r="G391" s="12" t="s">
        <v>2111</v>
      </c>
      <c r="H391" s="12" t="s">
        <v>2112</v>
      </c>
      <c r="I391" s="11" t="s">
        <v>37</v>
      </c>
      <c r="J391" s="8"/>
      <c r="K391" s="8" t="s">
        <v>79</v>
      </c>
      <c r="L391" s="9"/>
      <c r="M391" s="9"/>
      <c r="N391" s="8"/>
      <c r="O391" s="10"/>
    </row>
    <row r="392" spans="1:15" ht="52.8" x14ac:dyDescent="0.3">
      <c r="A392" s="6" t="s">
        <v>2113</v>
      </c>
      <c r="B392" s="7" t="s">
        <v>1956</v>
      </c>
      <c r="C392" s="7" t="s">
        <v>2114</v>
      </c>
      <c r="D392" s="7" t="s">
        <v>601</v>
      </c>
      <c r="E392" s="7" t="s">
        <v>2115</v>
      </c>
      <c r="F392" s="7" t="s">
        <v>2116</v>
      </c>
      <c r="G392" s="7" t="s">
        <v>2117</v>
      </c>
      <c r="H392" s="7" t="s">
        <v>2118</v>
      </c>
      <c r="I392" s="6" t="s">
        <v>37</v>
      </c>
      <c r="J392" s="8"/>
      <c r="K392" s="8" t="s">
        <v>79</v>
      </c>
      <c r="L392" s="9"/>
      <c r="M392" s="9"/>
      <c r="N392" s="8"/>
      <c r="O392" s="10"/>
    </row>
    <row r="393" spans="1:15" ht="26.4" x14ac:dyDescent="0.3">
      <c r="A393" s="11" t="s">
        <v>2119</v>
      </c>
      <c r="B393" s="12" t="s">
        <v>1956</v>
      </c>
      <c r="C393" s="12" t="s">
        <v>2114</v>
      </c>
      <c r="D393" s="12" t="s">
        <v>2120</v>
      </c>
      <c r="E393" s="12" t="s">
        <v>2121</v>
      </c>
      <c r="F393" s="12" t="s">
        <v>48</v>
      </c>
      <c r="G393" s="12" t="s">
        <v>2122</v>
      </c>
      <c r="H393" s="12" t="s">
        <v>2123</v>
      </c>
      <c r="I393" s="11" t="s">
        <v>37</v>
      </c>
      <c r="J393" s="8"/>
      <c r="K393" s="8" t="s">
        <v>79</v>
      </c>
      <c r="L393" s="9"/>
      <c r="M393" s="9"/>
      <c r="N393" s="8"/>
      <c r="O393" s="10"/>
    </row>
    <row r="394" spans="1:15" ht="26.4" x14ac:dyDescent="0.3">
      <c r="A394" s="6" t="s">
        <v>2124</v>
      </c>
      <c r="B394" s="7" t="s">
        <v>1956</v>
      </c>
      <c r="C394" s="7" t="s">
        <v>2114</v>
      </c>
      <c r="D394" s="7" t="s">
        <v>2125</v>
      </c>
      <c r="E394" s="7" t="s">
        <v>2126</v>
      </c>
      <c r="F394" s="7" t="s">
        <v>2127</v>
      </c>
      <c r="G394" s="7" t="s">
        <v>2128</v>
      </c>
      <c r="H394" s="7" t="s">
        <v>2129</v>
      </c>
      <c r="I394" s="6" t="s">
        <v>37</v>
      </c>
      <c r="J394" s="8"/>
      <c r="K394" s="8" t="s">
        <v>79</v>
      </c>
      <c r="L394" s="9"/>
      <c r="M394" s="9"/>
      <c r="N394" s="8"/>
      <c r="O394" s="10"/>
    </row>
    <row r="395" spans="1:15" ht="39.6" x14ac:dyDescent="0.3">
      <c r="A395" s="11" t="s">
        <v>2130</v>
      </c>
      <c r="B395" s="12" t="s">
        <v>1956</v>
      </c>
      <c r="C395" s="12" t="s">
        <v>2114</v>
      </c>
      <c r="D395" s="12" t="s">
        <v>2131</v>
      </c>
      <c r="E395" s="12" t="s">
        <v>2132</v>
      </c>
      <c r="F395" s="12" t="s">
        <v>2133</v>
      </c>
      <c r="G395" s="12" t="s">
        <v>2134</v>
      </c>
      <c r="H395" s="12" t="s">
        <v>2135</v>
      </c>
      <c r="I395" s="11" t="s">
        <v>37</v>
      </c>
      <c r="J395" s="8"/>
      <c r="K395" s="8" t="s">
        <v>79</v>
      </c>
      <c r="L395" s="9"/>
      <c r="M395" s="9"/>
      <c r="N395" s="8"/>
      <c r="O395" s="10"/>
    </row>
    <row r="396" spans="1:15" ht="39.6" x14ac:dyDescent="0.3">
      <c r="A396" s="6" t="s">
        <v>2136</v>
      </c>
      <c r="B396" s="7" t="s">
        <v>1956</v>
      </c>
      <c r="C396" s="7" t="s">
        <v>2114</v>
      </c>
      <c r="D396" s="7" t="s">
        <v>2137</v>
      </c>
      <c r="E396" s="7" t="s">
        <v>2138</v>
      </c>
      <c r="F396" s="7" t="s">
        <v>2139</v>
      </c>
      <c r="G396" s="7" t="s">
        <v>77</v>
      </c>
      <c r="H396" s="7" t="s">
        <v>2140</v>
      </c>
      <c r="I396" s="6" t="s">
        <v>37</v>
      </c>
      <c r="J396" s="8"/>
      <c r="K396" s="8" t="s">
        <v>79</v>
      </c>
      <c r="L396" s="9"/>
      <c r="M396" s="9"/>
      <c r="N396" s="8"/>
      <c r="O396" s="10"/>
    </row>
    <row r="397" spans="1:15" ht="39.6" x14ac:dyDescent="0.3">
      <c r="A397" s="11" t="s">
        <v>2141</v>
      </c>
      <c r="B397" s="12" t="s">
        <v>1956</v>
      </c>
      <c r="C397" s="12" t="s">
        <v>2114</v>
      </c>
      <c r="D397" s="12" t="s">
        <v>2142</v>
      </c>
      <c r="E397" s="12" t="s">
        <v>2143</v>
      </c>
      <c r="F397" s="12" t="s">
        <v>2144</v>
      </c>
      <c r="G397" s="12" t="s">
        <v>2145</v>
      </c>
      <c r="H397" s="12" t="s">
        <v>2146</v>
      </c>
      <c r="I397" s="11" t="s">
        <v>37</v>
      </c>
      <c r="J397" s="8"/>
      <c r="K397" s="8" t="s">
        <v>79</v>
      </c>
      <c r="L397" s="9"/>
      <c r="M397" s="9"/>
      <c r="N397" s="8"/>
      <c r="O397" s="10"/>
    </row>
    <row r="398" spans="1:15" ht="39.6" x14ac:dyDescent="0.3">
      <c r="A398" s="6" t="s">
        <v>2147</v>
      </c>
      <c r="B398" s="7" t="s">
        <v>1956</v>
      </c>
      <c r="C398" s="7" t="s">
        <v>2114</v>
      </c>
      <c r="D398" s="7" t="s">
        <v>2148</v>
      </c>
      <c r="E398" s="7" t="s">
        <v>2149</v>
      </c>
      <c r="F398" s="7" t="s">
        <v>2069</v>
      </c>
      <c r="G398" s="7" t="s">
        <v>2150</v>
      </c>
      <c r="H398" s="7" t="s">
        <v>2151</v>
      </c>
      <c r="I398" s="6" t="s">
        <v>37</v>
      </c>
      <c r="J398" s="8"/>
      <c r="K398" s="8" t="s">
        <v>79</v>
      </c>
      <c r="L398" s="9"/>
      <c r="M398" s="9"/>
      <c r="N398" s="8"/>
      <c r="O398" s="10"/>
    </row>
    <row r="399" spans="1:15" ht="66" x14ac:dyDescent="0.3">
      <c r="A399" s="11" t="s">
        <v>2152</v>
      </c>
      <c r="B399" s="12" t="s">
        <v>1956</v>
      </c>
      <c r="C399" s="12" t="s">
        <v>2114</v>
      </c>
      <c r="D399" s="12" t="s">
        <v>2153</v>
      </c>
      <c r="E399" s="12" t="s">
        <v>2154</v>
      </c>
      <c r="F399" s="12" t="s">
        <v>2155</v>
      </c>
      <c r="G399" s="12" t="s">
        <v>2156</v>
      </c>
      <c r="H399" s="12" t="s">
        <v>2157</v>
      </c>
      <c r="I399" s="11" t="s">
        <v>37</v>
      </c>
      <c r="J399" s="8"/>
      <c r="K399" s="8" t="s">
        <v>79</v>
      </c>
      <c r="L399" s="9"/>
      <c r="M399" s="9"/>
      <c r="N399" s="8"/>
      <c r="O399" s="10"/>
    </row>
    <row r="400" spans="1:15" ht="66" x14ac:dyDescent="0.3">
      <c r="A400" s="6" t="s">
        <v>2158</v>
      </c>
      <c r="B400" s="7" t="s">
        <v>1956</v>
      </c>
      <c r="C400" s="7" t="s">
        <v>2114</v>
      </c>
      <c r="D400" s="7" t="s">
        <v>703</v>
      </c>
      <c r="E400" s="7" t="s">
        <v>2159</v>
      </c>
      <c r="F400" s="7" t="s">
        <v>2160</v>
      </c>
      <c r="G400" s="7" t="s">
        <v>2161</v>
      </c>
      <c r="H400" s="7" t="s">
        <v>2162</v>
      </c>
      <c r="I400" s="6" t="s">
        <v>37</v>
      </c>
      <c r="J400" s="8"/>
      <c r="K400" s="8" t="s">
        <v>79</v>
      </c>
      <c r="L400" s="9"/>
      <c r="M400" s="9"/>
      <c r="N400" s="8"/>
      <c r="O400" s="10"/>
    </row>
    <row r="401" spans="1:15" ht="39.6" x14ac:dyDescent="0.3">
      <c r="A401" s="11" t="s">
        <v>2163</v>
      </c>
      <c r="B401" s="12" t="s">
        <v>1956</v>
      </c>
      <c r="C401" s="12" t="s">
        <v>2164</v>
      </c>
      <c r="D401" s="12" t="s">
        <v>822</v>
      </c>
      <c r="E401" s="12" t="s">
        <v>2165</v>
      </c>
      <c r="F401" s="12" t="s">
        <v>2139</v>
      </c>
      <c r="G401" s="12" t="s">
        <v>77</v>
      </c>
      <c r="H401" s="12" t="s">
        <v>2166</v>
      </c>
      <c r="I401" s="11" t="s">
        <v>37</v>
      </c>
      <c r="J401" s="8"/>
      <c r="K401" s="8" t="s">
        <v>79</v>
      </c>
      <c r="L401" s="9"/>
      <c r="M401" s="9"/>
      <c r="N401" s="8"/>
      <c r="O401" s="10"/>
    </row>
    <row r="402" spans="1:15" ht="26.4" x14ac:dyDescent="0.3">
      <c r="A402" s="6" t="s">
        <v>2167</v>
      </c>
      <c r="B402" s="7" t="s">
        <v>1956</v>
      </c>
      <c r="C402" s="7" t="s">
        <v>2164</v>
      </c>
      <c r="D402" s="7" t="s">
        <v>2168</v>
      </c>
      <c r="E402" s="7" t="s">
        <v>2169</v>
      </c>
      <c r="F402" s="7" t="s">
        <v>2170</v>
      </c>
      <c r="G402" s="7" t="s">
        <v>2171</v>
      </c>
      <c r="H402" s="7" t="s">
        <v>2172</v>
      </c>
      <c r="I402" s="6" t="s">
        <v>37</v>
      </c>
      <c r="J402" s="8"/>
      <c r="K402" s="8" t="s">
        <v>79</v>
      </c>
      <c r="L402" s="9"/>
      <c r="M402" s="9"/>
      <c r="N402" s="8"/>
      <c r="O402" s="10"/>
    </row>
    <row r="403" spans="1:15" ht="39.6" x14ac:dyDescent="0.3">
      <c r="A403" s="11" t="s">
        <v>2173</v>
      </c>
      <c r="B403" s="12" t="s">
        <v>1956</v>
      </c>
      <c r="C403" s="12" t="s">
        <v>2164</v>
      </c>
      <c r="D403" s="12" t="s">
        <v>2174</v>
      </c>
      <c r="E403" s="12" t="s">
        <v>2175</v>
      </c>
      <c r="F403" s="12" t="s">
        <v>2176</v>
      </c>
      <c r="G403" s="12" t="s">
        <v>2177</v>
      </c>
      <c r="H403" s="12" t="s">
        <v>2178</v>
      </c>
      <c r="I403" s="11" t="s">
        <v>37</v>
      </c>
      <c r="J403" s="8"/>
      <c r="K403" s="8" t="s">
        <v>79</v>
      </c>
      <c r="L403" s="9"/>
      <c r="M403" s="9"/>
      <c r="N403" s="8"/>
      <c r="O403" s="10"/>
    </row>
    <row r="404" spans="1:15" ht="39.6" x14ac:dyDescent="0.3">
      <c r="A404" s="6" t="s">
        <v>2179</v>
      </c>
      <c r="B404" s="7" t="s">
        <v>1956</v>
      </c>
      <c r="C404" s="7" t="s">
        <v>2164</v>
      </c>
      <c r="D404" s="7" t="s">
        <v>2180</v>
      </c>
      <c r="E404" s="7" t="s">
        <v>2181</v>
      </c>
      <c r="F404" s="7" t="s">
        <v>2133</v>
      </c>
      <c r="G404" s="7" t="s">
        <v>2171</v>
      </c>
      <c r="H404" s="7" t="s">
        <v>2182</v>
      </c>
      <c r="I404" s="6" t="s">
        <v>37</v>
      </c>
      <c r="J404" s="8"/>
      <c r="K404" s="8" t="s">
        <v>79</v>
      </c>
      <c r="L404" s="9"/>
      <c r="M404" s="9"/>
      <c r="N404" s="8"/>
      <c r="O404" s="10"/>
    </row>
    <row r="405" spans="1:15" ht="26.4" x14ac:dyDescent="0.3">
      <c r="A405" s="11" t="s">
        <v>2183</v>
      </c>
      <c r="B405" s="12" t="s">
        <v>1956</v>
      </c>
      <c r="C405" s="12" t="s">
        <v>2164</v>
      </c>
      <c r="D405" s="12" t="s">
        <v>2184</v>
      </c>
      <c r="E405" s="12" t="s">
        <v>2185</v>
      </c>
      <c r="F405" s="12" t="s">
        <v>2170</v>
      </c>
      <c r="G405" s="12" t="s">
        <v>900</v>
      </c>
      <c r="H405" s="12" t="s">
        <v>2186</v>
      </c>
      <c r="I405" s="11" t="s">
        <v>37</v>
      </c>
      <c r="J405" s="8"/>
      <c r="K405" s="8" t="s">
        <v>79</v>
      </c>
      <c r="L405" s="9"/>
      <c r="M405" s="9"/>
      <c r="N405" s="8"/>
      <c r="O405" s="10"/>
    </row>
    <row r="406" spans="1:15" ht="26.4" x14ac:dyDescent="0.3">
      <c r="A406" s="6" t="s">
        <v>2187</v>
      </c>
      <c r="B406" s="7" t="s">
        <v>1956</v>
      </c>
      <c r="C406" s="7" t="s">
        <v>2164</v>
      </c>
      <c r="D406" s="7" t="s">
        <v>2188</v>
      </c>
      <c r="E406" s="7" t="s">
        <v>2189</v>
      </c>
      <c r="F406" s="7" t="s">
        <v>2133</v>
      </c>
      <c r="G406" s="7" t="s">
        <v>2190</v>
      </c>
      <c r="H406" s="7" t="s">
        <v>2191</v>
      </c>
      <c r="I406" s="6" t="s">
        <v>37</v>
      </c>
      <c r="J406" s="8"/>
      <c r="K406" s="8" t="s">
        <v>79</v>
      </c>
      <c r="L406" s="9"/>
      <c r="M406" s="9"/>
      <c r="N406" s="8"/>
      <c r="O406" s="10"/>
    </row>
    <row r="407" spans="1:15" ht="26.4" x14ac:dyDescent="0.3">
      <c r="A407" s="11" t="s">
        <v>2192</v>
      </c>
      <c r="B407" s="12" t="s">
        <v>1956</v>
      </c>
      <c r="C407" s="12" t="s">
        <v>2164</v>
      </c>
      <c r="D407" s="12" t="s">
        <v>2193</v>
      </c>
      <c r="E407" s="12" t="s">
        <v>2194</v>
      </c>
      <c r="F407" s="12" t="s">
        <v>2170</v>
      </c>
      <c r="G407" s="12" t="s">
        <v>2195</v>
      </c>
      <c r="H407" s="12" t="s">
        <v>2196</v>
      </c>
      <c r="I407" s="11" t="s">
        <v>37</v>
      </c>
      <c r="J407" s="8"/>
      <c r="K407" s="8" t="s">
        <v>79</v>
      </c>
      <c r="L407" s="9"/>
      <c r="M407" s="9"/>
      <c r="N407" s="8"/>
      <c r="O407" s="10"/>
    </row>
    <row r="408" spans="1:15" ht="26.4" x14ac:dyDescent="0.3">
      <c r="A408" s="6" t="s">
        <v>2197</v>
      </c>
      <c r="B408" s="7" t="s">
        <v>1956</v>
      </c>
      <c r="C408" s="7" t="s">
        <v>2164</v>
      </c>
      <c r="D408" s="7" t="s">
        <v>2198</v>
      </c>
      <c r="E408" s="7" t="s">
        <v>2199</v>
      </c>
      <c r="F408" s="7" t="s">
        <v>2170</v>
      </c>
      <c r="G408" s="7" t="s">
        <v>2200</v>
      </c>
      <c r="H408" s="7" t="s">
        <v>2201</v>
      </c>
      <c r="I408" s="6" t="s">
        <v>37</v>
      </c>
      <c r="J408" s="8"/>
      <c r="K408" s="8" t="s">
        <v>79</v>
      </c>
      <c r="L408" s="9"/>
      <c r="M408" s="9"/>
      <c r="N408" s="8"/>
      <c r="O408" s="10"/>
    </row>
    <row r="409" spans="1:15" ht="39.6" x14ac:dyDescent="0.3">
      <c r="A409" s="11" t="s">
        <v>2202</v>
      </c>
      <c r="B409" s="12" t="s">
        <v>1956</v>
      </c>
      <c r="C409" s="12" t="s">
        <v>2164</v>
      </c>
      <c r="D409" s="12" t="s">
        <v>2203</v>
      </c>
      <c r="E409" s="12" t="s">
        <v>2204</v>
      </c>
      <c r="F409" s="12" t="s">
        <v>2133</v>
      </c>
      <c r="G409" s="12" t="s">
        <v>871</v>
      </c>
      <c r="H409" s="12" t="s">
        <v>2205</v>
      </c>
      <c r="I409" s="11" t="s">
        <v>37</v>
      </c>
      <c r="J409" s="8"/>
      <c r="K409" s="8" t="s">
        <v>79</v>
      </c>
      <c r="L409" s="9"/>
      <c r="M409" s="9"/>
      <c r="N409" s="8"/>
      <c r="O409" s="10"/>
    </row>
    <row r="410" spans="1:15" ht="26.4" x14ac:dyDescent="0.3">
      <c r="A410" s="6" t="s">
        <v>2206</v>
      </c>
      <c r="B410" s="7" t="s">
        <v>1956</v>
      </c>
      <c r="C410" s="7" t="s">
        <v>2164</v>
      </c>
      <c r="D410" s="7" t="s">
        <v>2207</v>
      </c>
      <c r="E410" s="7" t="s">
        <v>2208</v>
      </c>
      <c r="F410" s="7" t="s">
        <v>2209</v>
      </c>
      <c r="G410" s="7" t="s">
        <v>2210</v>
      </c>
      <c r="H410" s="7" t="s">
        <v>2211</v>
      </c>
      <c r="I410" s="6" t="s">
        <v>37</v>
      </c>
      <c r="J410" s="8"/>
      <c r="K410" s="8" t="s">
        <v>79</v>
      </c>
      <c r="L410" s="9"/>
      <c r="M410" s="9"/>
      <c r="N410" s="8"/>
      <c r="O410" s="10"/>
    </row>
    <row r="411" spans="1:15" ht="26.4" x14ac:dyDescent="0.3">
      <c r="A411" s="11" t="s">
        <v>2212</v>
      </c>
      <c r="B411" s="12" t="s">
        <v>1956</v>
      </c>
      <c r="C411" s="12" t="s">
        <v>2164</v>
      </c>
      <c r="D411" s="12" t="s">
        <v>2213</v>
      </c>
      <c r="E411" s="12" t="s">
        <v>2214</v>
      </c>
      <c r="F411" s="12" t="s">
        <v>76</v>
      </c>
      <c r="G411" s="12" t="s">
        <v>2215</v>
      </c>
      <c r="H411" s="12" t="s">
        <v>2216</v>
      </c>
      <c r="I411" s="11" t="s">
        <v>37</v>
      </c>
      <c r="J411" s="8"/>
      <c r="K411" s="8" t="s">
        <v>79</v>
      </c>
      <c r="L411" s="9"/>
      <c r="M411" s="9"/>
      <c r="N411" s="8"/>
      <c r="O411" s="10"/>
    </row>
    <row r="412" spans="1:15" ht="26.4" x14ac:dyDescent="0.3">
      <c r="A412" s="6" t="s">
        <v>2217</v>
      </c>
      <c r="B412" s="7" t="s">
        <v>1956</v>
      </c>
      <c r="C412" s="7" t="s">
        <v>2164</v>
      </c>
      <c r="D412" s="7" t="s">
        <v>2218</v>
      </c>
      <c r="E412" s="7" t="s">
        <v>2219</v>
      </c>
      <c r="F412" s="7" t="s">
        <v>2220</v>
      </c>
      <c r="G412" s="7" t="s">
        <v>2221</v>
      </c>
      <c r="H412" s="7" t="s">
        <v>2222</v>
      </c>
      <c r="I412" s="6" t="s">
        <v>37</v>
      </c>
      <c r="J412" s="8"/>
      <c r="K412" s="8" t="s">
        <v>79</v>
      </c>
      <c r="L412" s="9"/>
      <c r="M412" s="9"/>
      <c r="N412" s="8"/>
      <c r="O412" s="10"/>
    </row>
    <row r="413" spans="1:15" ht="39.6" x14ac:dyDescent="0.3">
      <c r="A413" s="11" t="s">
        <v>2223</v>
      </c>
      <c r="B413" s="12" t="s">
        <v>1956</v>
      </c>
      <c r="C413" s="12" t="s">
        <v>2164</v>
      </c>
      <c r="D413" s="12" t="s">
        <v>2224</v>
      </c>
      <c r="E413" s="12" t="s">
        <v>2225</v>
      </c>
      <c r="F413" s="12" t="s">
        <v>2226</v>
      </c>
      <c r="G413" s="12" t="s">
        <v>2227</v>
      </c>
      <c r="H413" s="12" t="s">
        <v>2228</v>
      </c>
      <c r="I413" s="11" t="s">
        <v>37</v>
      </c>
      <c r="J413" s="8"/>
      <c r="K413" s="8" t="s">
        <v>79</v>
      </c>
      <c r="L413" s="9"/>
      <c r="M413" s="9"/>
      <c r="N413" s="8"/>
      <c r="O413" s="10"/>
    </row>
    <row r="414" spans="1:15" ht="52.8" x14ac:dyDescent="0.3">
      <c r="A414" s="6" t="s">
        <v>2229</v>
      </c>
      <c r="B414" s="7" t="s">
        <v>1956</v>
      </c>
      <c r="C414" s="7" t="s">
        <v>2164</v>
      </c>
      <c r="D414" s="7" t="s">
        <v>2230</v>
      </c>
      <c r="E414" s="7" t="s">
        <v>2231</v>
      </c>
      <c r="F414" s="7" t="s">
        <v>2133</v>
      </c>
      <c r="G414" s="7" t="s">
        <v>2232</v>
      </c>
      <c r="H414" s="7" t="s">
        <v>2233</v>
      </c>
      <c r="I414" s="6" t="s">
        <v>37</v>
      </c>
      <c r="J414" s="8"/>
      <c r="K414" s="8" t="s">
        <v>79</v>
      </c>
      <c r="L414" s="9"/>
      <c r="M414" s="9"/>
      <c r="N414" s="8"/>
      <c r="O414" s="10"/>
    </row>
    <row r="415" spans="1:15" ht="26.4" x14ac:dyDescent="0.3">
      <c r="A415" s="11" t="s">
        <v>2234</v>
      </c>
      <c r="B415" s="12" t="s">
        <v>1956</v>
      </c>
      <c r="C415" s="12" t="s">
        <v>2235</v>
      </c>
      <c r="D415" s="12" t="s">
        <v>2236</v>
      </c>
      <c r="E415" s="12" t="s">
        <v>2237</v>
      </c>
      <c r="F415" s="12" t="s">
        <v>2238</v>
      </c>
      <c r="G415" s="12" t="s">
        <v>2239</v>
      </c>
      <c r="H415" s="12" t="s">
        <v>2240</v>
      </c>
      <c r="I415" s="11" t="s">
        <v>37</v>
      </c>
      <c r="J415" s="8"/>
      <c r="K415" s="8" t="s">
        <v>79</v>
      </c>
      <c r="L415" s="9"/>
      <c r="M415" s="9"/>
      <c r="N415" s="8"/>
      <c r="O415" s="10"/>
    </row>
    <row r="416" spans="1:15" ht="26.4" x14ac:dyDescent="0.3">
      <c r="A416" s="6" t="s">
        <v>2241</v>
      </c>
      <c r="B416" s="7" t="s">
        <v>1956</v>
      </c>
      <c r="C416" s="7" t="s">
        <v>2235</v>
      </c>
      <c r="D416" s="7" t="s">
        <v>277</v>
      </c>
      <c r="E416" s="7" t="s">
        <v>2242</v>
      </c>
      <c r="F416" s="7" t="s">
        <v>2238</v>
      </c>
      <c r="G416" s="7" t="s">
        <v>2243</v>
      </c>
      <c r="H416" s="7" t="s">
        <v>2244</v>
      </c>
      <c r="I416" s="6" t="s">
        <v>37</v>
      </c>
      <c r="J416" s="8"/>
      <c r="K416" s="8" t="s">
        <v>79</v>
      </c>
      <c r="L416" s="9"/>
      <c r="M416" s="9"/>
      <c r="N416" s="8"/>
      <c r="O416" s="10"/>
    </row>
    <row r="417" spans="1:15" ht="52.8" x14ac:dyDescent="0.3">
      <c r="A417" s="11" t="s">
        <v>2245</v>
      </c>
      <c r="B417" s="12" t="s">
        <v>2246</v>
      </c>
      <c r="C417" s="12" t="s">
        <v>2247</v>
      </c>
      <c r="D417" s="12" t="s">
        <v>2248</v>
      </c>
      <c r="E417" s="12" t="s">
        <v>2249</v>
      </c>
      <c r="F417" s="12" t="s">
        <v>2250</v>
      </c>
      <c r="G417" s="12" t="s">
        <v>2251</v>
      </c>
      <c r="H417" s="12" t="s">
        <v>2252</v>
      </c>
      <c r="I417" s="11" t="s">
        <v>37</v>
      </c>
      <c r="J417" s="8"/>
      <c r="K417" s="8" t="s">
        <v>79</v>
      </c>
      <c r="L417" s="9"/>
      <c r="M417" s="9"/>
      <c r="N417" s="8"/>
      <c r="O417" s="10"/>
    </row>
    <row r="418" spans="1:15" ht="26.4" x14ac:dyDescent="0.3">
      <c r="A418" s="6" t="s">
        <v>2253</v>
      </c>
      <c r="B418" s="7" t="s">
        <v>2246</v>
      </c>
      <c r="C418" s="7" t="s">
        <v>2254</v>
      </c>
      <c r="D418" s="7" t="s">
        <v>2255</v>
      </c>
      <c r="E418" s="7" t="s">
        <v>2256</v>
      </c>
      <c r="F418" s="7" t="s">
        <v>48</v>
      </c>
      <c r="G418" s="7" t="s">
        <v>77</v>
      </c>
      <c r="H418" s="7" t="s">
        <v>2257</v>
      </c>
      <c r="I418" s="6" t="s">
        <v>37</v>
      </c>
      <c r="J418" s="8"/>
      <c r="K418" s="8" t="s">
        <v>79</v>
      </c>
      <c r="L418" s="9"/>
      <c r="M418" s="9"/>
      <c r="N418" s="8"/>
      <c r="O418" s="10"/>
    </row>
    <row r="419" spans="1:15" ht="52.8" x14ac:dyDescent="0.3">
      <c r="A419" s="11" t="s">
        <v>2258</v>
      </c>
      <c r="B419" s="12" t="s">
        <v>2246</v>
      </c>
      <c r="C419" s="12" t="s">
        <v>2259</v>
      </c>
      <c r="D419" s="12" t="s">
        <v>2260</v>
      </c>
      <c r="E419" s="12" t="s">
        <v>2261</v>
      </c>
      <c r="F419" s="12" t="s">
        <v>48</v>
      </c>
      <c r="G419" s="12" t="s">
        <v>2262</v>
      </c>
      <c r="H419" s="12" t="s">
        <v>2263</v>
      </c>
      <c r="I419" s="11" t="s">
        <v>37</v>
      </c>
      <c r="J419" s="8"/>
      <c r="K419" s="8" t="s">
        <v>79</v>
      </c>
      <c r="L419" s="9"/>
      <c r="M419" s="9"/>
      <c r="N419" s="8"/>
      <c r="O419" s="10"/>
    </row>
    <row r="420" spans="1:15" ht="52.8" x14ac:dyDescent="0.3">
      <c r="A420" s="6" t="s">
        <v>2264</v>
      </c>
      <c r="B420" s="7" t="s">
        <v>2246</v>
      </c>
      <c r="C420" s="7" t="s">
        <v>2259</v>
      </c>
      <c r="D420" s="7" t="s">
        <v>2265</v>
      </c>
      <c r="E420" s="7" t="s">
        <v>2266</v>
      </c>
      <c r="F420" s="7" t="s">
        <v>48</v>
      </c>
      <c r="G420" s="7" t="s">
        <v>2267</v>
      </c>
      <c r="H420" s="7" t="s">
        <v>2268</v>
      </c>
      <c r="I420" s="6" t="s">
        <v>37</v>
      </c>
      <c r="J420" s="8"/>
      <c r="K420" s="8" t="s">
        <v>79</v>
      </c>
      <c r="L420" s="9"/>
      <c r="M420" s="9"/>
      <c r="N420" s="8"/>
      <c r="O420" s="10"/>
    </row>
    <row r="421" spans="1:15" ht="26.4" x14ac:dyDescent="0.3">
      <c r="A421" s="11" t="s">
        <v>2269</v>
      </c>
      <c r="B421" s="12" t="s">
        <v>2270</v>
      </c>
      <c r="C421" s="12" t="s">
        <v>1957</v>
      </c>
      <c r="D421" s="12" t="s">
        <v>2271</v>
      </c>
      <c r="E421" s="12" t="s">
        <v>2272</v>
      </c>
      <c r="F421" s="12" t="s">
        <v>2273</v>
      </c>
      <c r="G421" s="12" t="s">
        <v>77</v>
      </c>
      <c r="H421" s="12" t="s">
        <v>2274</v>
      </c>
      <c r="I421" s="11" t="s">
        <v>37</v>
      </c>
      <c r="J421" s="8"/>
      <c r="K421" s="8" t="s">
        <v>79</v>
      </c>
      <c r="L421" s="9"/>
      <c r="M421" s="9"/>
      <c r="N421" s="8"/>
      <c r="O421" s="10"/>
    </row>
    <row r="422" spans="1:15" ht="26.4" x14ac:dyDescent="0.3">
      <c r="A422" s="6" t="s">
        <v>2275</v>
      </c>
      <c r="B422" s="7" t="s">
        <v>2270</v>
      </c>
      <c r="C422" s="7" t="s">
        <v>2276</v>
      </c>
      <c r="D422" s="7" t="s">
        <v>2277</v>
      </c>
      <c r="E422" s="7" t="s">
        <v>2278</v>
      </c>
      <c r="F422" s="7" t="s">
        <v>76</v>
      </c>
      <c r="G422" s="7" t="s">
        <v>2279</v>
      </c>
      <c r="H422" s="7" t="s">
        <v>2280</v>
      </c>
      <c r="I422" s="6" t="s">
        <v>37</v>
      </c>
      <c r="J422" s="8"/>
      <c r="K422" s="8" t="s">
        <v>79</v>
      </c>
      <c r="L422" s="9"/>
      <c r="M422" s="9"/>
      <c r="N422" s="8"/>
      <c r="O422" s="10"/>
    </row>
    <row r="423" spans="1:15" ht="26.4" x14ac:dyDescent="0.3">
      <c r="A423" s="11" t="s">
        <v>2281</v>
      </c>
      <c r="B423" s="12" t="s">
        <v>2270</v>
      </c>
      <c r="C423" s="12" t="s">
        <v>2276</v>
      </c>
      <c r="D423" s="12" t="s">
        <v>2282</v>
      </c>
      <c r="E423" s="12" t="s">
        <v>2283</v>
      </c>
      <c r="F423" s="12" t="s">
        <v>76</v>
      </c>
      <c r="G423" s="12" t="s">
        <v>77</v>
      </c>
      <c r="H423" s="12" t="s">
        <v>2284</v>
      </c>
      <c r="I423" s="11" t="s">
        <v>37</v>
      </c>
      <c r="J423" s="8"/>
      <c r="K423" s="8" t="s">
        <v>79</v>
      </c>
      <c r="L423" s="9"/>
      <c r="M423" s="9"/>
      <c r="N423" s="8"/>
      <c r="O423" s="10"/>
    </row>
    <row r="424" spans="1:15" ht="26.4" x14ac:dyDescent="0.3">
      <c r="A424" s="6" t="s">
        <v>2285</v>
      </c>
      <c r="B424" s="7" t="s">
        <v>2270</v>
      </c>
      <c r="C424" s="7" t="s">
        <v>2276</v>
      </c>
      <c r="D424" s="7" t="s">
        <v>2286</v>
      </c>
      <c r="E424" s="7" t="s">
        <v>2287</v>
      </c>
      <c r="F424" s="7" t="s">
        <v>2133</v>
      </c>
      <c r="G424" s="7" t="s">
        <v>77</v>
      </c>
      <c r="H424" s="7" t="s">
        <v>2288</v>
      </c>
      <c r="I424" s="6" t="s">
        <v>37</v>
      </c>
      <c r="J424" s="8"/>
      <c r="K424" s="8" t="s">
        <v>79</v>
      </c>
      <c r="L424" s="9"/>
      <c r="M424" s="9"/>
      <c r="N424" s="8"/>
      <c r="O424" s="10"/>
    </row>
    <row r="425" spans="1:15" ht="26.4" x14ac:dyDescent="0.3">
      <c r="A425" s="11" t="s">
        <v>2289</v>
      </c>
      <c r="B425" s="12" t="s">
        <v>2270</v>
      </c>
      <c r="C425" s="12" t="s">
        <v>2276</v>
      </c>
      <c r="D425" s="12" t="s">
        <v>2290</v>
      </c>
      <c r="E425" s="12" t="s">
        <v>2291</v>
      </c>
      <c r="F425" s="12" t="s">
        <v>76</v>
      </c>
      <c r="G425" s="12" t="s">
        <v>2292</v>
      </c>
      <c r="H425" s="12" t="s">
        <v>2293</v>
      </c>
      <c r="I425" s="11" t="s">
        <v>37</v>
      </c>
      <c r="J425" s="8"/>
      <c r="K425" s="8" t="s">
        <v>79</v>
      </c>
      <c r="L425" s="9"/>
      <c r="M425" s="9"/>
      <c r="N425" s="8"/>
      <c r="O425" s="10"/>
    </row>
    <row r="426" spans="1:15" ht="52.8" x14ac:dyDescent="0.3">
      <c r="A426" s="6" t="s">
        <v>2294</v>
      </c>
      <c r="B426" s="7" t="s">
        <v>2270</v>
      </c>
      <c r="C426" s="7" t="s">
        <v>2276</v>
      </c>
      <c r="D426" s="7" t="s">
        <v>2295</v>
      </c>
      <c r="E426" s="7" t="s">
        <v>2296</v>
      </c>
      <c r="F426" s="7" t="s">
        <v>76</v>
      </c>
      <c r="G426" s="7" t="s">
        <v>77</v>
      </c>
      <c r="H426" s="7" t="s">
        <v>2297</v>
      </c>
      <c r="I426" s="6" t="s">
        <v>37</v>
      </c>
      <c r="J426" s="8"/>
      <c r="K426" s="8" t="s">
        <v>79</v>
      </c>
      <c r="L426" s="9"/>
      <c r="M426" s="9"/>
      <c r="N426" s="8"/>
      <c r="O426" s="10"/>
    </row>
    <row r="427" spans="1:15" ht="26.4" x14ac:dyDescent="0.3">
      <c r="A427" s="11" t="s">
        <v>2298</v>
      </c>
      <c r="B427" s="12" t="s">
        <v>2270</v>
      </c>
      <c r="C427" s="12" t="s">
        <v>2276</v>
      </c>
      <c r="D427" s="12" t="s">
        <v>2299</v>
      </c>
      <c r="E427" s="12" t="s">
        <v>2300</v>
      </c>
      <c r="F427" s="12" t="s">
        <v>76</v>
      </c>
      <c r="G427" s="12" t="s">
        <v>77</v>
      </c>
      <c r="H427" s="12" t="s">
        <v>2301</v>
      </c>
      <c r="I427" s="11" t="s">
        <v>37</v>
      </c>
      <c r="J427" s="8"/>
      <c r="K427" s="8" t="s">
        <v>79</v>
      </c>
      <c r="L427" s="9"/>
      <c r="M427" s="9"/>
      <c r="N427" s="8"/>
      <c r="O427" s="10"/>
    </row>
    <row r="428" spans="1:15" ht="52.8" x14ac:dyDescent="0.3">
      <c r="A428" s="6" t="s">
        <v>2302</v>
      </c>
      <c r="B428" s="7" t="s">
        <v>2270</v>
      </c>
      <c r="C428" s="7" t="s">
        <v>2303</v>
      </c>
      <c r="D428" s="7" t="s">
        <v>2304</v>
      </c>
      <c r="E428" s="7" t="s">
        <v>2305</v>
      </c>
      <c r="F428" s="7" t="s">
        <v>2306</v>
      </c>
      <c r="G428" s="7" t="s">
        <v>2307</v>
      </c>
      <c r="H428" s="7" t="s">
        <v>2308</v>
      </c>
      <c r="I428" s="6" t="s">
        <v>37</v>
      </c>
      <c r="J428" s="8"/>
      <c r="K428" s="8" t="s">
        <v>79</v>
      </c>
      <c r="L428" s="9"/>
      <c r="M428" s="9"/>
      <c r="N428" s="8"/>
      <c r="O428" s="10"/>
    </row>
    <row r="429" spans="1:15" ht="26.4" x14ac:dyDescent="0.3">
      <c r="A429" s="11" t="s">
        <v>2309</v>
      </c>
      <c r="B429" s="12" t="s">
        <v>2270</v>
      </c>
      <c r="C429" s="12" t="s">
        <v>2310</v>
      </c>
      <c r="D429" s="12" t="s">
        <v>2311</v>
      </c>
      <c r="E429" s="12" t="s">
        <v>2312</v>
      </c>
      <c r="F429" s="12" t="s">
        <v>2313</v>
      </c>
      <c r="G429" s="12" t="s">
        <v>2314</v>
      </c>
      <c r="H429" s="12" t="s">
        <v>2315</v>
      </c>
      <c r="I429" s="11" t="s">
        <v>37</v>
      </c>
      <c r="J429" s="8"/>
      <c r="K429" s="8" t="s">
        <v>79</v>
      </c>
      <c r="L429" s="9"/>
      <c r="M429" s="9"/>
      <c r="N429" s="8"/>
      <c r="O429" s="10"/>
    </row>
    <row r="430" spans="1:15" ht="26.4" x14ac:dyDescent="0.3">
      <c r="A430" s="6" t="s">
        <v>2316</v>
      </c>
      <c r="B430" s="7" t="s">
        <v>2270</v>
      </c>
      <c r="C430" s="7" t="s">
        <v>2317</v>
      </c>
      <c r="D430" s="7" t="s">
        <v>2318</v>
      </c>
      <c r="E430" s="7" t="s">
        <v>2319</v>
      </c>
      <c r="F430" s="7" t="s">
        <v>2320</v>
      </c>
      <c r="G430" s="7" t="s">
        <v>2321</v>
      </c>
      <c r="H430" s="7" t="s">
        <v>2322</v>
      </c>
      <c r="I430" s="6" t="s">
        <v>37</v>
      </c>
      <c r="J430" s="8"/>
      <c r="K430" s="8" t="s">
        <v>79</v>
      </c>
      <c r="L430" s="9"/>
      <c r="M430" s="9"/>
      <c r="N430" s="8"/>
      <c r="O430" s="10"/>
    </row>
    <row r="431" spans="1:15" ht="52.8" x14ac:dyDescent="0.3">
      <c r="A431" s="11" t="s">
        <v>2323</v>
      </c>
      <c r="B431" s="12" t="s">
        <v>2270</v>
      </c>
      <c r="C431" s="12" t="s">
        <v>2317</v>
      </c>
      <c r="D431" s="12" t="s">
        <v>2324</v>
      </c>
      <c r="E431" s="12" t="s">
        <v>2325</v>
      </c>
      <c r="F431" s="12" t="s">
        <v>2326</v>
      </c>
      <c r="G431" s="12" t="s">
        <v>2327</v>
      </c>
      <c r="H431" s="12" t="s">
        <v>2328</v>
      </c>
      <c r="I431" s="11" t="s">
        <v>37</v>
      </c>
      <c r="J431" s="8"/>
      <c r="K431" s="8" t="s">
        <v>79</v>
      </c>
      <c r="L431" s="9"/>
      <c r="M431" s="9"/>
      <c r="N431" s="8"/>
      <c r="O431" s="10"/>
    </row>
    <row r="432" spans="1:15" ht="39.6" x14ac:dyDescent="0.3">
      <c r="A432" s="6" t="s">
        <v>2329</v>
      </c>
      <c r="B432" s="7" t="s">
        <v>2270</v>
      </c>
      <c r="C432" s="7" t="s">
        <v>2317</v>
      </c>
      <c r="D432" s="7" t="s">
        <v>2330</v>
      </c>
      <c r="E432" s="7" t="s">
        <v>2331</v>
      </c>
      <c r="F432" s="7" t="s">
        <v>2332</v>
      </c>
      <c r="G432" s="7" t="s">
        <v>2333</v>
      </c>
      <c r="H432" s="7" t="s">
        <v>2334</v>
      </c>
      <c r="I432" s="6" t="s">
        <v>37</v>
      </c>
      <c r="J432" s="8"/>
      <c r="K432" s="8" t="s">
        <v>79</v>
      </c>
      <c r="L432" s="9"/>
      <c r="M432" s="9"/>
      <c r="N432" s="8"/>
      <c r="O432" s="10"/>
    </row>
    <row r="433" spans="1:15" ht="26.4" x14ac:dyDescent="0.3">
      <c r="A433" s="11" t="s">
        <v>2335</v>
      </c>
      <c r="B433" s="12" t="s">
        <v>2270</v>
      </c>
      <c r="C433" s="12" t="s">
        <v>2336</v>
      </c>
      <c r="D433" s="12" t="s">
        <v>2337</v>
      </c>
      <c r="E433" s="12" t="s">
        <v>2338</v>
      </c>
      <c r="F433" s="12" t="s">
        <v>2339</v>
      </c>
      <c r="G433" s="12" t="s">
        <v>2340</v>
      </c>
      <c r="H433" s="12" t="s">
        <v>2341</v>
      </c>
      <c r="I433" s="11" t="s">
        <v>37</v>
      </c>
      <c r="J433" s="8"/>
      <c r="K433" s="8" t="s">
        <v>79</v>
      </c>
      <c r="L433" s="9"/>
      <c r="M433" s="9"/>
      <c r="N433" s="8"/>
      <c r="O433" s="10"/>
    </row>
    <row r="434" spans="1:15" ht="39.6" x14ac:dyDescent="0.3">
      <c r="A434" s="6" t="s">
        <v>2342</v>
      </c>
      <c r="B434" s="7" t="s">
        <v>2270</v>
      </c>
      <c r="C434" s="7" t="s">
        <v>2317</v>
      </c>
      <c r="D434" s="7" t="s">
        <v>2343</v>
      </c>
      <c r="E434" s="7" t="s">
        <v>2344</v>
      </c>
      <c r="F434" s="7" t="s">
        <v>2320</v>
      </c>
      <c r="G434" s="7" t="s">
        <v>2345</v>
      </c>
      <c r="H434" s="7" t="s">
        <v>2346</v>
      </c>
      <c r="I434" s="6" t="s">
        <v>37</v>
      </c>
      <c r="J434" s="8"/>
      <c r="K434" s="8" t="s">
        <v>79</v>
      </c>
      <c r="L434" s="9"/>
      <c r="M434" s="9"/>
      <c r="N434" s="8"/>
      <c r="O434" s="10"/>
    </row>
    <row r="435" spans="1:15" ht="39.6" x14ac:dyDescent="0.3">
      <c r="A435" s="11" t="s">
        <v>2347</v>
      </c>
      <c r="B435" s="12" t="s">
        <v>2270</v>
      </c>
      <c r="C435" s="12" t="s">
        <v>2317</v>
      </c>
      <c r="D435" s="12" t="s">
        <v>2348</v>
      </c>
      <c r="E435" s="12" t="s">
        <v>2349</v>
      </c>
      <c r="F435" s="12" t="s">
        <v>2350</v>
      </c>
      <c r="G435" s="12" t="s">
        <v>2351</v>
      </c>
      <c r="H435" s="12" t="s">
        <v>2352</v>
      </c>
      <c r="I435" s="11" t="s">
        <v>37</v>
      </c>
      <c r="J435" s="8"/>
      <c r="K435" s="8" t="s">
        <v>79</v>
      </c>
      <c r="L435" s="9"/>
      <c r="M435" s="9"/>
      <c r="N435" s="8"/>
      <c r="O435" s="10"/>
    </row>
    <row r="436" spans="1:15" ht="39.6" x14ac:dyDescent="0.3">
      <c r="A436" s="6" t="s">
        <v>2353</v>
      </c>
      <c r="B436" s="7" t="s">
        <v>2270</v>
      </c>
      <c r="C436" s="7" t="s">
        <v>2276</v>
      </c>
      <c r="D436" s="7" t="s">
        <v>2354</v>
      </c>
      <c r="E436" s="7" t="s">
        <v>2355</v>
      </c>
      <c r="F436" s="7" t="s">
        <v>76</v>
      </c>
      <c r="G436" s="7" t="s">
        <v>2356</v>
      </c>
      <c r="H436" s="7" t="s">
        <v>2357</v>
      </c>
      <c r="I436" s="6" t="s">
        <v>37</v>
      </c>
      <c r="J436" s="8"/>
      <c r="K436" s="8" t="s">
        <v>79</v>
      </c>
      <c r="L436" s="9"/>
      <c r="M436" s="9"/>
      <c r="N436" s="8"/>
      <c r="O436" s="10"/>
    </row>
    <row r="437" spans="1:15" ht="52.8" x14ac:dyDescent="0.3">
      <c r="A437" s="11" t="s">
        <v>2358</v>
      </c>
      <c r="B437" s="12" t="s">
        <v>2270</v>
      </c>
      <c r="C437" s="12" t="s">
        <v>2276</v>
      </c>
      <c r="D437" s="12" t="s">
        <v>2359</v>
      </c>
      <c r="E437" s="12" t="s">
        <v>2360</v>
      </c>
      <c r="F437" s="12" t="s">
        <v>76</v>
      </c>
      <c r="G437" s="12" t="s">
        <v>2356</v>
      </c>
      <c r="H437" s="12" t="s">
        <v>2361</v>
      </c>
      <c r="I437" s="11" t="s">
        <v>37</v>
      </c>
      <c r="J437" s="8"/>
      <c r="K437" s="8" t="s">
        <v>79</v>
      </c>
      <c r="L437" s="9"/>
      <c r="M437" s="9"/>
      <c r="N437" s="8"/>
      <c r="O437" s="10"/>
    </row>
    <row r="438" spans="1:15" ht="39.6" x14ac:dyDescent="0.3">
      <c r="A438" s="6" t="s">
        <v>2362</v>
      </c>
      <c r="B438" s="7" t="s">
        <v>2270</v>
      </c>
      <c r="C438" s="7" t="s">
        <v>2363</v>
      </c>
      <c r="D438" s="7" t="s">
        <v>2364</v>
      </c>
      <c r="E438" s="7" t="s">
        <v>2365</v>
      </c>
      <c r="F438" s="7" t="s">
        <v>76</v>
      </c>
      <c r="G438" s="7" t="s">
        <v>2366</v>
      </c>
      <c r="H438" s="7" t="s">
        <v>2367</v>
      </c>
      <c r="I438" s="6" t="s">
        <v>37</v>
      </c>
      <c r="J438" s="8"/>
      <c r="K438" s="8" t="s">
        <v>79</v>
      </c>
      <c r="L438" s="9"/>
      <c r="M438" s="9"/>
      <c r="N438" s="8"/>
      <c r="O438" s="10"/>
    </row>
    <row r="439" spans="1:15" ht="66" x14ac:dyDescent="0.3">
      <c r="A439" s="11" t="s">
        <v>2368</v>
      </c>
      <c r="B439" s="12" t="s">
        <v>2270</v>
      </c>
      <c r="C439" s="12" t="s">
        <v>2369</v>
      </c>
      <c r="D439" s="12" t="s">
        <v>2370</v>
      </c>
      <c r="E439" s="12" t="s">
        <v>2371</v>
      </c>
      <c r="F439" s="12" t="s">
        <v>76</v>
      </c>
      <c r="G439" s="12" t="s">
        <v>2372</v>
      </c>
      <c r="H439" s="12" t="s">
        <v>2373</v>
      </c>
      <c r="I439" s="11" t="s">
        <v>37</v>
      </c>
      <c r="J439" s="8"/>
      <c r="K439" s="8" t="s">
        <v>79</v>
      </c>
      <c r="L439" s="9"/>
      <c r="M439" s="9"/>
      <c r="N439" s="8"/>
      <c r="O439" s="10"/>
    </row>
    <row r="440" spans="1:15" ht="39.6" x14ac:dyDescent="0.3">
      <c r="A440" s="6" t="s">
        <v>2374</v>
      </c>
      <c r="B440" s="7" t="s">
        <v>2375</v>
      </c>
      <c r="C440" s="7" t="s">
        <v>1957</v>
      </c>
      <c r="D440" s="7" t="s">
        <v>2376</v>
      </c>
      <c r="E440" s="7" t="s">
        <v>2377</v>
      </c>
      <c r="F440" s="7" t="s">
        <v>2378</v>
      </c>
      <c r="G440" s="7" t="s">
        <v>77</v>
      </c>
      <c r="H440" s="7" t="s">
        <v>2379</v>
      </c>
      <c r="I440" s="6" t="s">
        <v>37</v>
      </c>
      <c r="J440" s="8"/>
      <c r="K440" s="8" t="s">
        <v>79</v>
      </c>
      <c r="L440" s="9"/>
      <c r="M440" s="9"/>
      <c r="N440" s="8"/>
      <c r="O440" s="10"/>
    </row>
    <row r="441" spans="1:15" ht="39.6" x14ac:dyDescent="0.3">
      <c r="A441" s="11" t="s">
        <v>2380</v>
      </c>
      <c r="B441" s="12" t="s">
        <v>2375</v>
      </c>
      <c r="C441" s="12" t="s">
        <v>1957</v>
      </c>
      <c r="D441" s="12" t="s">
        <v>2381</v>
      </c>
      <c r="E441" s="12" t="s">
        <v>2382</v>
      </c>
      <c r="F441" s="12" t="s">
        <v>273</v>
      </c>
      <c r="G441" s="12" t="s">
        <v>77</v>
      </c>
      <c r="H441" s="12" t="s">
        <v>2383</v>
      </c>
      <c r="I441" s="11" t="s">
        <v>45</v>
      </c>
      <c r="J441" s="8"/>
      <c r="K441" s="8" t="s">
        <v>275</v>
      </c>
      <c r="L441" s="9"/>
      <c r="M441" s="9"/>
      <c r="N441" s="8"/>
      <c r="O441" s="10"/>
    </row>
    <row r="442" spans="1:15" ht="66" x14ac:dyDescent="0.3">
      <c r="A442" s="6" t="s">
        <v>2384</v>
      </c>
      <c r="B442" s="7" t="s">
        <v>2375</v>
      </c>
      <c r="C442" s="7" t="s">
        <v>2385</v>
      </c>
      <c r="D442" s="7" t="s">
        <v>2386</v>
      </c>
      <c r="E442" s="7" t="s">
        <v>2387</v>
      </c>
      <c r="F442" s="7" t="s">
        <v>2388</v>
      </c>
      <c r="G442" s="7" t="s">
        <v>77</v>
      </c>
      <c r="H442" s="7" t="s">
        <v>2389</v>
      </c>
      <c r="I442" s="6" t="s">
        <v>37</v>
      </c>
      <c r="J442" s="8"/>
      <c r="K442" s="8" t="s">
        <v>79</v>
      </c>
      <c r="L442" s="9"/>
      <c r="M442" s="9"/>
      <c r="N442" s="8"/>
      <c r="O442" s="10"/>
    </row>
    <row r="443" spans="1:15" ht="26.4" x14ac:dyDescent="0.3">
      <c r="A443" s="11" t="s">
        <v>2390</v>
      </c>
      <c r="B443" s="12" t="s">
        <v>2375</v>
      </c>
      <c r="C443" s="12" t="s">
        <v>2391</v>
      </c>
      <c r="D443" s="12" t="s">
        <v>2392</v>
      </c>
      <c r="E443" s="12" t="s">
        <v>2393</v>
      </c>
      <c r="F443" s="12" t="s">
        <v>2394</v>
      </c>
      <c r="G443" s="12" t="s">
        <v>77</v>
      </c>
      <c r="H443" s="12" t="s">
        <v>2395</v>
      </c>
      <c r="I443" s="11" t="s">
        <v>37</v>
      </c>
      <c r="J443" s="8"/>
      <c r="K443" s="8" t="s">
        <v>79</v>
      </c>
      <c r="L443" s="9"/>
      <c r="M443" s="9"/>
      <c r="N443" s="8"/>
      <c r="O443" s="10"/>
    </row>
    <row r="444" spans="1:15" ht="66" x14ac:dyDescent="0.3">
      <c r="A444" s="6" t="s">
        <v>2396</v>
      </c>
      <c r="B444" s="7" t="s">
        <v>2375</v>
      </c>
      <c r="C444" s="7" t="s">
        <v>2397</v>
      </c>
      <c r="D444" s="7" t="s">
        <v>2398</v>
      </c>
      <c r="E444" s="7" t="s">
        <v>2399</v>
      </c>
      <c r="F444" s="7" t="s">
        <v>2220</v>
      </c>
      <c r="G444" s="7" t="s">
        <v>2400</v>
      </c>
      <c r="H444" s="7" t="s">
        <v>2401</v>
      </c>
      <c r="I444" s="6" t="s">
        <v>37</v>
      </c>
      <c r="J444" s="8"/>
      <c r="K444" s="8" t="s">
        <v>79</v>
      </c>
      <c r="L444" s="9"/>
      <c r="M444" s="9"/>
      <c r="N444" s="8"/>
      <c r="O444" s="10"/>
    </row>
    <row r="445" spans="1:15" ht="26.4" x14ac:dyDescent="0.3">
      <c r="A445" s="11" t="s">
        <v>2402</v>
      </c>
      <c r="B445" s="12" t="s">
        <v>2375</v>
      </c>
      <c r="C445" s="12" t="s">
        <v>2397</v>
      </c>
      <c r="D445" s="12" t="s">
        <v>2403</v>
      </c>
      <c r="E445" s="12" t="s">
        <v>2404</v>
      </c>
      <c r="F445" s="12" t="s">
        <v>2220</v>
      </c>
      <c r="G445" s="12" t="s">
        <v>77</v>
      </c>
      <c r="H445" s="12" t="s">
        <v>2405</v>
      </c>
      <c r="I445" s="11" t="s">
        <v>37</v>
      </c>
      <c r="J445" s="8"/>
      <c r="K445" s="8" t="s">
        <v>79</v>
      </c>
      <c r="L445" s="9"/>
      <c r="M445" s="9"/>
      <c r="N445" s="8"/>
      <c r="O445" s="10"/>
    </row>
    <row r="446" spans="1:15" ht="26.4" x14ac:dyDescent="0.3">
      <c r="A446" s="6" t="s">
        <v>2406</v>
      </c>
      <c r="B446" s="7" t="s">
        <v>2375</v>
      </c>
      <c r="C446" s="7" t="s">
        <v>2397</v>
      </c>
      <c r="D446" s="7" t="s">
        <v>2407</v>
      </c>
      <c r="E446" s="7" t="s">
        <v>2408</v>
      </c>
      <c r="F446" s="7" t="s">
        <v>2220</v>
      </c>
      <c r="G446" s="7" t="s">
        <v>77</v>
      </c>
      <c r="H446" s="7" t="s">
        <v>2409</v>
      </c>
      <c r="I446" s="6" t="s">
        <v>37</v>
      </c>
      <c r="J446" s="8"/>
      <c r="K446" s="8" t="s">
        <v>79</v>
      </c>
      <c r="L446" s="9"/>
      <c r="M446" s="9"/>
      <c r="N446" s="8"/>
      <c r="O446" s="10"/>
    </row>
    <row r="447" spans="1:15" ht="26.4" x14ac:dyDescent="0.3">
      <c r="A447" s="11" t="s">
        <v>2410</v>
      </c>
      <c r="B447" s="12" t="s">
        <v>2375</v>
      </c>
      <c r="C447" s="12" t="s">
        <v>2397</v>
      </c>
      <c r="D447" s="12" t="s">
        <v>2411</v>
      </c>
      <c r="E447" s="12" t="s">
        <v>2412</v>
      </c>
      <c r="F447" s="12" t="s">
        <v>2220</v>
      </c>
      <c r="G447" s="12" t="s">
        <v>77</v>
      </c>
      <c r="H447" s="12" t="s">
        <v>2413</v>
      </c>
      <c r="I447" s="11" t="s">
        <v>37</v>
      </c>
      <c r="J447" s="8"/>
      <c r="K447" s="8" t="s">
        <v>79</v>
      </c>
      <c r="L447" s="9"/>
      <c r="M447" s="9"/>
      <c r="N447" s="8"/>
      <c r="O447" s="10"/>
    </row>
    <row r="448" spans="1:15" ht="26.4" x14ac:dyDescent="0.3">
      <c r="A448" s="6" t="s">
        <v>2414</v>
      </c>
      <c r="B448" s="7" t="s">
        <v>2375</v>
      </c>
      <c r="C448" s="7" t="s">
        <v>2397</v>
      </c>
      <c r="D448" s="7" t="s">
        <v>2415</v>
      </c>
      <c r="E448" s="7" t="s">
        <v>2416</v>
      </c>
      <c r="F448" s="7" t="s">
        <v>48</v>
      </c>
      <c r="G448" s="7" t="s">
        <v>77</v>
      </c>
      <c r="H448" s="7" t="s">
        <v>2417</v>
      </c>
      <c r="I448" s="6" t="s">
        <v>37</v>
      </c>
      <c r="J448" s="8"/>
      <c r="K448" s="8" t="s">
        <v>79</v>
      </c>
      <c r="L448" s="9"/>
      <c r="M448" s="9"/>
      <c r="N448" s="8"/>
      <c r="O448" s="10"/>
    </row>
    <row r="449" spans="1:15" ht="26.4" x14ac:dyDescent="0.3">
      <c r="A449" s="11" t="s">
        <v>2418</v>
      </c>
      <c r="B449" s="12" t="s">
        <v>2375</v>
      </c>
      <c r="C449" s="12" t="s">
        <v>2397</v>
      </c>
      <c r="D449" s="12" t="s">
        <v>563</v>
      </c>
      <c r="E449" s="12" t="s">
        <v>2419</v>
      </c>
      <c r="F449" s="12" t="s">
        <v>76</v>
      </c>
      <c r="G449" s="12" t="s">
        <v>77</v>
      </c>
      <c r="H449" s="12" t="s">
        <v>2420</v>
      </c>
      <c r="I449" s="11" t="s">
        <v>37</v>
      </c>
      <c r="J449" s="8"/>
      <c r="K449" s="8" t="s">
        <v>79</v>
      </c>
      <c r="L449" s="9"/>
      <c r="M449" s="9"/>
      <c r="N449" s="8"/>
      <c r="O449" s="10"/>
    </row>
    <row r="450" spans="1:15" ht="52.8" x14ac:dyDescent="0.3">
      <c r="A450" s="6" t="s">
        <v>2421</v>
      </c>
      <c r="B450" s="7" t="s">
        <v>2375</v>
      </c>
      <c r="C450" s="7" t="s">
        <v>2397</v>
      </c>
      <c r="D450" s="7" t="s">
        <v>2422</v>
      </c>
      <c r="E450" s="7" t="s">
        <v>2423</v>
      </c>
      <c r="F450" s="7" t="s">
        <v>2220</v>
      </c>
      <c r="G450" s="7" t="s">
        <v>77</v>
      </c>
      <c r="H450" s="7" t="s">
        <v>2424</v>
      </c>
      <c r="I450" s="6" t="s">
        <v>37</v>
      </c>
      <c r="J450" s="8"/>
      <c r="K450" s="8" t="s">
        <v>79</v>
      </c>
      <c r="L450" s="9"/>
      <c r="M450" s="9"/>
      <c r="N450" s="8"/>
      <c r="O450" s="10"/>
    </row>
    <row r="451" spans="1:15" ht="39.6" x14ac:dyDescent="0.3">
      <c r="A451" s="11" t="s">
        <v>2425</v>
      </c>
      <c r="B451" s="12" t="s">
        <v>2375</v>
      </c>
      <c r="C451" s="12" t="s">
        <v>2397</v>
      </c>
      <c r="D451" s="12" t="s">
        <v>2426</v>
      </c>
      <c r="E451" s="12" t="s">
        <v>2427</v>
      </c>
      <c r="F451" s="12" t="s">
        <v>2220</v>
      </c>
      <c r="G451" s="12" t="s">
        <v>77</v>
      </c>
      <c r="H451" s="12" t="s">
        <v>2428</v>
      </c>
      <c r="I451" s="11" t="s">
        <v>37</v>
      </c>
      <c r="J451" s="8"/>
      <c r="K451" s="8" t="s">
        <v>79</v>
      </c>
      <c r="L451" s="9"/>
      <c r="M451" s="9"/>
      <c r="N451" s="8"/>
      <c r="O451" s="10"/>
    </row>
    <row r="452" spans="1:15" ht="39.6" x14ac:dyDescent="0.3">
      <c r="A452" s="6" t="s">
        <v>2429</v>
      </c>
      <c r="B452" s="7" t="s">
        <v>2375</v>
      </c>
      <c r="C452" s="7" t="s">
        <v>2397</v>
      </c>
      <c r="D452" s="7" t="s">
        <v>2430</v>
      </c>
      <c r="E452" s="7" t="s">
        <v>2431</v>
      </c>
      <c r="F452" s="7" t="s">
        <v>48</v>
      </c>
      <c r="G452" s="7" t="s">
        <v>2432</v>
      </c>
      <c r="H452" s="7" t="s">
        <v>2433</v>
      </c>
      <c r="I452" s="6" t="s">
        <v>37</v>
      </c>
      <c r="J452" s="8"/>
      <c r="K452" s="8" t="s">
        <v>79</v>
      </c>
      <c r="L452" s="9"/>
      <c r="M452" s="9"/>
      <c r="N452" s="8"/>
      <c r="O452" s="10"/>
    </row>
    <row r="453" spans="1:15" ht="26.4" x14ac:dyDescent="0.3">
      <c r="A453" s="11" t="s">
        <v>2434</v>
      </c>
      <c r="B453" s="12" t="s">
        <v>2375</v>
      </c>
      <c r="C453" s="12" t="s">
        <v>2397</v>
      </c>
      <c r="D453" s="12" t="s">
        <v>2435</v>
      </c>
      <c r="E453" s="12" t="s">
        <v>2436</v>
      </c>
      <c r="F453" s="12" t="s">
        <v>48</v>
      </c>
      <c r="G453" s="12" t="s">
        <v>77</v>
      </c>
      <c r="H453" s="12" t="s">
        <v>2437</v>
      </c>
      <c r="I453" s="11" t="s">
        <v>37</v>
      </c>
      <c r="J453" s="8"/>
      <c r="K453" s="8" t="s">
        <v>79</v>
      </c>
      <c r="L453" s="9"/>
      <c r="M453" s="9"/>
      <c r="N453" s="8"/>
      <c r="O453" s="10"/>
    </row>
    <row r="454" spans="1:15" ht="39.6" x14ac:dyDescent="0.3">
      <c r="A454" s="6" t="s">
        <v>2438</v>
      </c>
      <c r="B454" s="7" t="s">
        <v>2375</v>
      </c>
      <c r="C454" s="7" t="s">
        <v>2397</v>
      </c>
      <c r="D454" s="7" t="s">
        <v>2439</v>
      </c>
      <c r="E454" s="7" t="s">
        <v>2440</v>
      </c>
      <c r="F454" s="7" t="s">
        <v>48</v>
      </c>
      <c r="G454" s="7" t="s">
        <v>77</v>
      </c>
      <c r="H454" s="7" t="s">
        <v>2441</v>
      </c>
      <c r="I454" s="6" t="s">
        <v>37</v>
      </c>
      <c r="J454" s="8"/>
      <c r="K454" s="8" t="s">
        <v>79</v>
      </c>
      <c r="L454" s="9"/>
      <c r="M454" s="9"/>
      <c r="N454" s="8"/>
      <c r="O454" s="10"/>
    </row>
    <row r="455" spans="1:15" ht="26.4" x14ac:dyDescent="0.3">
      <c r="A455" s="11" t="s">
        <v>2442</v>
      </c>
      <c r="B455" s="12" t="s">
        <v>2375</v>
      </c>
      <c r="C455" s="12" t="s">
        <v>2397</v>
      </c>
      <c r="D455" s="12" t="s">
        <v>2443</v>
      </c>
      <c r="E455" s="12" t="s">
        <v>2444</v>
      </c>
      <c r="F455" s="12" t="s">
        <v>2445</v>
      </c>
      <c r="G455" s="12" t="s">
        <v>2446</v>
      </c>
      <c r="H455" s="12" t="s">
        <v>2447</v>
      </c>
      <c r="I455" s="11" t="s">
        <v>37</v>
      </c>
      <c r="J455" s="8"/>
      <c r="K455" s="8" t="s">
        <v>79</v>
      </c>
      <c r="L455" s="9"/>
      <c r="M455" s="9"/>
      <c r="N455" s="8"/>
      <c r="O455" s="10"/>
    </row>
    <row r="456" spans="1:15" ht="52.8" x14ac:dyDescent="0.3">
      <c r="A456" s="6" t="s">
        <v>2448</v>
      </c>
      <c r="B456" s="7" t="s">
        <v>2375</v>
      </c>
      <c r="C456" s="7" t="s">
        <v>2449</v>
      </c>
      <c r="D456" s="7" t="s">
        <v>2450</v>
      </c>
      <c r="E456" s="7" t="s">
        <v>2451</v>
      </c>
      <c r="F456" s="7" t="s">
        <v>48</v>
      </c>
      <c r="G456" s="7" t="s">
        <v>2452</v>
      </c>
      <c r="H456" s="7" t="s">
        <v>2453</v>
      </c>
      <c r="I456" s="6" t="s">
        <v>37</v>
      </c>
      <c r="J456" s="8"/>
      <c r="K456" s="8" t="s">
        <v>79</v>
      </c>
      <c r="L456" s="9"/>
      <c r="M456" s="9"/>
      <c r="N456" s="8"/>
      <c r="O456" s="10"/>
    </row>
    <row r="457" spans="1:15" ht="66" x14ac:dyDescent="0.3">
      <c r="A457" s="11" t="s">
        <v>2454</v>
      </c>
      <c r="B457" s="12" t="s">
        <v>2375</v>
      </c>
      <c r="C457" s="12" t="s">
        <v>2449</v>
      </c>
      <c r="D457" s="12" t="s">
        <v>2455</v>
      </c>
      <c r="E457" s="12" t="s">
        <v>2456</v>
      </c>
      <c r="F457" s="12" t="s">
        <v>48</v>
      </c>
      <c r="G457" s="12" t="s">
        <v>77</v>
      </c>
      <c r="H457" s="12" t="s">
        <v>2457</v>
      </c>
      <c r="I457" s="11" t="s">
        <v>37</v>
      </c>
      <c r="J457" s="8"/>
      <c r="K457" s="8" t="s">
        <v>79</v>
      </c>
      <c r="L457" s="9"/>
      <c r="M457" s="9"/>
      <c r="N457" s="8"/>
      <c r="O457" s="10"/>
    </row>
    <row r="458" spans="1:15" ht="26.4" x14ac:dyDescent="0.3">
      <c r="A458" s="6" t="s">
        <v>2458</v>
      </c>
      <c r="B458" s="7" t="s">
        <v>2375</v>
      </c>
      <c r="C458" s="7" t="s">
        <v>2449</v>
      </c>
      <c r="D458" s="7" t="s">
        <v>2459</v>
      </c>
      <c r="E458" s="7" t="s">
        <v>2460</v>
      </c>
      <c r="F458" s="7" t="s">
        <v>48</v>
      </c>
      <c r="G458" s="7" t="s">
        <v>2461</v>
      </c>
      <c r="H458" s="7" t="s">
        <v>2462</v>
      </c>
      <c r="I458" s="6" t="s">
        <v>37</v>
      </c>
      <c r="J458" s="8"/>
      <c r="K458" s="8" t="s">
        <v>79</v>
      </c>
      <c r="L458" s="9"/>
      <c r="M458" s="9"/>
      <c r="N458" s="8"/>
      <c r="O458" s="10"/>
    </row>
    <row r="459" spans="1:15" ht="52.8" x14ac:dyDescent="0.3">
      <c r="A459" s="11" t="s">
        <v>2463</v>
      </c>
      <c r="B459" s="12" t="s">
        <v>2375</v>
      </c>
      <c r="C459" s="12" t="s">
        <v>2449</v>
      </c>
      <c r="D459" s="12" t="s">
        <v>2464</v>
      </c>
      <c r="E459" s="12" t="s">
        <v>2465</v>
      </c>
      <c r="F459" s="12" t="s">
        <v>48</v>
      </c>
      <c r="G459" s="12" t="s">
        <v>2466</v>
      </c>
      <c r="H459" s="12" t="s">
        <v>2467</v>
      </c>
      <c r="I459" s="11" t="s">
        <v>37</v>
      </c>
      <c r="J459" s="8"/>
      <c r="K459" s="8" t="s">
        <v>79</v>
      </c>
      <c r="L459" s="9"/>
      <c r="M459" s="9"/>
      <c r="N459" s="8"/>
      <c r="O459" s="10"/>
    </row>
    <row r="460" spans="1:15" ht="66" x14ac:dyDescent="0.3">
      <c r="A460" s="6" t="s">
        <v>2468</v>
      </c>
      <c r="B460" s="7" t="s">
        <v>2375</v>
      </c>
      <c r="C460" s="7" t="s">
        <v>2449</v>
      </c>
      <c r="D460" s="7" t="s">
        <v>2469</v>
      </c>
      <c r="E460" s="7" t="s">
        <v>2470</v>
      </c>
      <c r="F460" s="7" t="s">
        <v>48</v>
      </c>
      <c r="G460" s="7" t="s">
        <v>2471</v>
      </c>
      <c r="H460" s="7" t="s">
        <v>2472</v>
      </c>
      <c r="I460" s="6" t="s">
        <v>37</v>
      </c>
      <c r="J460" s="8"/>
      <c r="K460" s="8" t="s">
        <v>79</v>
      </c>
      <c r="L460" s="9"/>
      <c r="M460" s="9"/>
      <c r="N460" s="8"/>
      <c r="O460" s="10"/>
    </row>
    <row r="461" spans="1:15" ht="39.6" x14ac:dyDescent="0.3">
      <c r="A461" s="11" t="s">
        <v>2473</v>
      </c>
      <c r="B461" s="12" t="s">
        <v>2375</v>
      </c>
      <c r="C461" s="12" t="s">
        <v>2449</v>
      </c>
      <c r="D461" s="12" t="s">
        <v>2474</v>
      </c>
      <c r="E461" s="12" t="s">
        <v>2475</v>
      </c>
      <c r="F461" s="12" t="s">
        <v>48</v>
      </c>
      <c r="G461" s="12" t="s">
        <v>2476</v>
      </c>
      <c r="H461" s="12" t="s">
        <v>2477</v>
      </c>
      <c r="I461" s="11" t="s">
        <v>37</v>
      </c>
      <c r="J461" s="8"/>
      <c r="K461" s="8" t="s">
        <v>79</v>
      </c>
      <c r="L461" s="9"/>
      <c r="M461" s="9"/>
      <c r="N461" s="8"/>
      <c r="O461" s="10"/>
    </row>
    <row r="462" spans="1:15" ht="26.4" x14ac:dyDescent="0.3">
      <c r="A462" s="6" t="s">
        <v>2478</v>
      </c>
      <c r="B462" s="7" t="s">
        <v>2375</v>
      </c>
      <c r="C462" s="7" t="s">
        <v>2449</v>
      </c>
      <c r="D462" s="7" t="s">
        <v>2479</v>
      </c>
      <c r="E462" s="7" t="s">
        <v>2480</v>
      </c>
      <c r="F462" s="7" t="s">
        <v>2481</v>
      </c>
      <c r="G462" s="7" t="s">
        <v>2482</v>
      </c>
      <c r="H462" s="7" t="s">
        <v>2483</v>
      </c>
      <c r="I462" s="6" t="s">
        <v>37</v>
      </c>
      <c r="J462" s="8"/>
      <c r="K462" s="8" t="s">
        <v>79</v>
      </c>
      <c r="L462" s="9"/>
      <c r="M462" s="9"/>
      <c r="N462" s="8"/>
      <c r="O462" s="10"/>
    </row>
    <row r="463" spans="1:15" ht="52.8" x14ac:dyDescent="0.3">
      <c r="A463" s="11" t="s">
        <v>2484</v>
      </c>
      <c r="B463" s="12" t="s">
        <v>2375</v>
      </c>
      <c r="C463" s="12" t="s">
        <v>2449</v>
      </c>
      <c r="D463" s="12" t="s">
        <v>2485</v>
      </c>
      <c r="E463" s="12" t="s">
        <v>2486</v>
      </c>
      <c r="F463" s="12" t="s">
        <v>48</v>
      </c>
      <c r="G463" s="12" t="s">
        <v>2487</v>
      </c>
      <c r="H463" s="12" t="s">
        <v>2488</v>
      </c>
      <c r="I463" s="11" t="s">
        <v>37</v>
      </c>
      <c r="J463" s="8"/>
      <c r="K463" s="8" t="s">
        <v>79</v>
      </c>
      <c r="L463" s="9"/>
      <c r="M463" s="9"/>
      <c r="N463" s="8"/>
      <c r="O463" s="10"/>
    </row>
    <row r="464" spans="1:15" ht="39.6" x14ac:dyDescent="0.3">
      <c r="A464" s="6" t="s">
        <v>2489</v>
      </c>
      <c r="B464" s="7" t="s">
        <v>2375</v>
      </c>
      <c r="C464" s="7" t="s">
        <v>2449</v>
      </c>
      <c r="D464" s="7" t="s">
        <v>2490</v>
      </c>
      <c r="E464" s="7" t="s">
        <v>2491</v>
      </c>
      <c r="F464" s="7" t="s">
        <v>48</v>
      </c>
      <c r="G464" s="7" t="s">
        <v>77</v>
      </c>
      <c r="H464" s="7" t="s">
        <v>2492</v>
      </c>
      <c r="I464" s="6" t="s">
        <v>37</v>
      </c>
      <c r="J464" s="8"/>
      <c r="K464" s="8" t="s">
        <v>79</v>
      </c>
      <c r="L464" s="9"/>
      <c r="M464" s="9"/>
      <c r="N464" s="8"/>
      <c r="O464" s="10"/>
    </row>
    <row r="465" spans="1:15" ht="39.6" x14ac:dyDescent="0.3">
      <c r="A465" s="11" t="s">
        <v>2493</v>
      </c>
      <c r="B465" s="12" t="s">
        <v>2375</v>
      </c>
      <c r="C465" s="12" t="s">
        <v>2494</v>
      </c>
      <c r="D465" s="12" t="s">
        <v>2495</v>
      </c>
      <c r="E465" s="12" t="s">
        <v>2496</v>
      </c>
      <c r="F465" s="12" t="s">
        <v>48</v>
      </c>
      <c r="G465" s="12" t="s">
        <v>2497</v>
      </c>
      <c r="H465" s="12" t="s">
        <v>2498</v>
      </c>
      <c r="I465" s="11" t="s">
        <v>37</v>
      </c>
      <c r="J465" s="8"/>
      <c r="K465" s="8" t="s">
        <v>79</v>
      </c>
      <c r="L465" s="9"/>
      <c r="M465" s="9"/>
      <c r="N465" s="8"/>
      <c r="O465" s="10"/>
    </row>
    <row r="466" spans="1:15" ht="39.6" x14ac:dyDescent="0.3">
      <c r="A466" s="6" t="s">
        <v>2499</v>
      </c>
      <c r="B466" s="7" t="s">
        <v>2375</v>
      </c>
      <c r="C466" s="7" t="s">
        <v>2500</v>
      </c>
      <c r="D466" s="7" t="s">
        <v>2501</v>
      </c>
      <c r="E466" s="7" t="s">
        <v>2502</v>
      </c>
      <c r="F466" s="7" t="s">
        <v>48</v>
      </c>
      <c r="G466" s="7" t="s">
        <v>2503</v>
      </c>
      <c r="H466" s="7" t="s">
        <v>2504</v>
      </c>
      <c r="I466" s="6" t="s">
        <v>37</v>
      </c>
      <c r="J466" s="8"/>
      <c r="K466" s="8" t="s">
        <v>79</v>
      </c>
      <c r="L466" s="9"/>
      <c r="M466" s="9"/>
      <c r="N466" s="8"/>
      <c r="O466" s="10"/>
    </row>
    <row r="467" spans="1:15" ht="39.6" x14ac:dyDescent="0.3">
      <c r="A467" s="11" t="s">
        <v>2505</v>
      </c>
      <c r="B467" s="12" t="s">
        <v>2375</v>
      </c>
      <c r="C467" s="12" t="s">
        <v>2506</v>
      </c>
      <c r="D467" s="12" t="s">
        <v>2507</v>
      </c>
      <c r="E467" s="12" t="s">
        <v>2508</v>
      </c>
      <c r="F467" s="12" t="s">
        <v>48</v>
      </c>
      <c r="G467" s="12" t="s">
        <v>2509</v>
      </c>
      <c r="H467" s="12" t="s">
        <v>2510</v>
      </c>
      <c r="I467" s="11" t="s">
        <v>37</v>
      </c>
      <c r="J467" s="8"/>
      <c r="K467" s="8" t="s">
        <v>79</v>
      </c>
      <c r="L467" s="9"/>
      <c r="M467" s="9"/>
      <c r="N467" s="8"/>
      <c r="O467" s="10"/>
    </row>
    <row r="468" spans="1:15" ht="26.4" x14ac:dyDescent="0.3">
      <c r="A468" s="6" t="s">
        <v>2511</v>
      </c>
      <c r="B468" s="7" t="s">
        <v>2375</v>
      </c>
      <c r="C468" s="7" t="s">
        <v>2512</v>
      </c>
      <c r="D468" s="7" t="s">
        <v>2513</v>
      </c>
      <c r="E468" s="7" t="s">
        <v>2514</v>
      </c>
      <c r="F468" s="7" t="s">
        <v>48</v>
      </c>
      <c r="G468" s="7" t="s">
        <v>2515</v>
      </c>
      <c r="H468" s="7" t="s">
        <v>2516</v>
      </c>
      <c r="I468" s="6" t="s">
        <v>37</v>
      </c>
      <c r="J468" s="8"/>
      <c r="K468" s="8" t="s">
        <v>79</v>
      </c>
      <c r="L468" s="9"/>
      <c r="M468" s="9"/>
      <c r="N468" s="8"/>
      <c r="O468" s="10"/>
    </row>
    <row r="469" spans="1:15" ht="26.4" x14ac:dyDescent="0.3">
      <c r="A469" s="11" t="s">
        <v>2517</v>
      </c>
      <c r="B469" s="12" t="s">
        <v>2375</v>
      </c>
      <c r="C469" s="12" t="s">
        <v>2518</v>
      </c>
      <c r="D469" s="12" t="s">
        <v>2519</v>
      </c>
      <c r="E469" s="12" t="s">
        <v>2520</v>
      </c>
      <c r="F469" s="12" t="s">
        <v>48</v>
      </c>
      <c r="G469" s="12" t="s">
        <v>2521</v>
      </c>
      <c r="H469" s="12" t="s">
        <v>2522</v>
      </c>
      <c r="I469" s="11" t="s">
        <v>37</v>
      </c>
      <c r="J469" s="8"/>
      <c r="K469" s="8" t="s">
        <v>79</v>
      </c>
      <c r="L469" s="9"/>
      <c r="M469" s="9"/>
      <c r="N469" s="8"/>
      <c r="O469" s="10"/>
    </row>
    <row r="470" spans="1:15" ht="26.4" x14ac:dyDescent="0.3">
      <c r="A470" s="6" t="s">
        <v>2523</v>
      </c>
      <c r="B470" s="7" t="s">
        <v>2375</v>
      </c>
      <c r="C470" s="7" t="s">
        <v>2524</v>
      </c>
      <c r="D470" s="7" t="s">
        <v>354</v>
      </c>
      <c r="E470" s="7" t="s">
        <v>2525</v>
      </c>
      <c r="F470" s="7" t="s">
        <v>2526</v>
      </c>
      <c r="G470" s="7" t="s">
        <v>2527</v>
      </c>
      <c r="H470" s="7" t="s">
        <v>2528</v>
      </c>
      <c r="I470" s="6" t="s">
        <v>37</v>
      </c>
      <c r="J470" s="8"/>
      <c r="K470" s="8" t="s">
        <v>79</v>
      </c>
      <c r="L470" s="9"/>
      <c r="M470" s="9"/>
      <c r="N470" s="8"/>
      <c r="O470" s="10"/>
    </row>
    <row r="471" spans="1:15" ht="39.6" x14ac:dyDescent="0.3">
      <c r="A471" s="11" t="s">
        <v>2529</v>
      </c>
      <c r="B471" s="12" t="s">
        <v>2375</v>
      </c>
      <c r="C471" s="12" t="s">
        <v>2524</v>
      </c>
      <c r="D471" s="12" t="s">
        <v>2530</v>
      </c>
      <c r="E471" s="12" t="s">
        <v>2531</v>
      </c>
      <c r="F471" s="12" t="s">
        <v>2532</v>
      </c>
      <c r="G471" s="12" t="s">
        <v>77</v>
      </c>
      <c r="H471" s="12" t="s">
        <v>2533</v>
      </c>
      <c r="I471" s="11" t="s">
        <v>37</v>
      </c>
      <c r="J471" s="8"/>
      <c r="K471" s="8" t="s">
        <v>79</v>
      </c>
      <c r="L471" s="9"/>
      <c r="M471" s="9"/>
      <c r="N471" s="8"/>
      <c r="O471" s="10"/>
    </row>
    <row r="472" spans="1:15" ht="66" x14ac:dyDescent="0.3">
      <c r="A472" s="6" t="s">
        <v>2534</v>
      </c>
      <c r="B472" s="7" t="s">
        <v>2375</v>
      </c>
      <c r="C472" s="7" t="s">
        <v>2524</v>
      </c>
      <c r="D472" s="7" t="s">
        <v>2535</v>
      </c>
      <c r="E472" s="7" t="s">
        <v>2536</v>
      </c>
      <c r="F472" s="7" t="s">
        <v>76</v>
      </c>
      <c r="G472" s="7" t="s">
        <v>77</v>
      </c>
      <c r="H472" s="7" t="s">
        <v>2537</v>
      </c>
      <c r="I472" s="6" t="s">
        <v>37</v>
      </c>
      <c r="J472" s="8"/>
      <c r="K472" s="8" t="s">
        <v>79</v>
      </c>
      <c r="L472" s="9"/>
      <c r="M472" s="9"/>
      <c r="N472" s="8"/>
      <c r="O472" s="10"/>
    </row>
    <row r="473" spans="1:15" ht="39.6" x14ac:dyDescent="0.3">
      <c r="A473" s="11" t="s">
        <v>2538</v>
      </c>
      <c r="B473" s="12" t="s">
        <v>2539</v>
      </c>
      <c r="C473" s="12" t="s">
        <v>2540</v>
      </c>
      <c r="D473" s="12" t="s">
        <v>2541</v>
      </c>
      <c r="E473" s="12" t="s">
        <v>2542</v>
      </c>
      <c r="F473" s="12" t="s">
        <v>2543</v>
      </c>
      <c r="G473" s="12" t="s">
        <v>2544</v>
      </c>
      <c r="H473" s="12" t="s">
        <v>2545</v>
      </c>
      <c r="I473" s="11" t="s">
        <v>37</v>
      </c>
      <c r="J473" s="8"/>
      <c r="K473" s="8" t="s">
        <v>79</v>
      </c>
      <c r="L473" s="9"/>
      <c r="M473" s="9"/>
      <c r="N473" s="8"/>
      <c r="O473" s="10"/>
    </row>
    <row r="474" spans="1:15" ht="39.6" x14ac:dyDescent="0.3">
      <c r="A474" s="6" t="s">
        <v>2546</v>
      </c>
      <c r="B474" s="7" t="s">
        <v>2539</v>
      </c>
      <c r="C474" s="7" t="s">
        <v>2540</v>
      </c>
      <c r="D474" s="7" t="s">
        <v>2547</v>
      </c>
      <c r="E474" s="7" t="s">
        <v>2548</v>
      </c>
      <c r="F474" s="7" t="s">
        <v>1821</v>
      </c>
      <c r="G474" s="7" t="s">
        <v>2549</v>
      </c>
      <c r="H474" s="7" t="s">
        <v>2550</v>
      </c>
      <c r="I474" s="6" t="s">
        <v>37</v>
      </c>
      <c r="J474" s="8"/>
      <c r="K474" s="8" t="s">
        <v>79</v>
      </c>
      <c r="L474" s="9"/>
      <c r="M474" s="9"/>
      <c r="N474" s="8"/>
      <c r="O474" s="10"/>
    </row>
    <row r="475" spans="1:15" ht="39.6" x14ac:dyDescent="0.3">
      <c r="A475" s="11" t="s">
        <v>2551</v>
      </c>
      <c r="B475" s="12" t="s">
        <v>2539</v>
      </c>
      <c r="C475" s="12" t="s">
        <v>2540</v>
      </c>
      <c r="D475" s="12" t="s">
        <v>2552</v>
      </c>
      <c r="E475" s="12" t="s">
        <v>2553</v>
      </c>
      <c r="F475" s="12" t="s">
        <v>1821</v>
      </c>
      <c r="G475" s="12" t="s">
        <v>2554</v>
      </c>
      <c r="H475" s="12" t="s">
        <v>2555</v>
      </c>
      <c r="I475" s="11" t="s">
        <v>37</v>
      </c>
      <c r="J475" s="8"/>
      <c r="K475" s="8" t="s">
        <v>79</v>
      </c>
      <c r="L475" s="9"/>
      <c r="M475" s="9"/>
      <c r="N475" s="8"/>
      <c r="O475" s="10"/>
    </row>
    <row r="476" spans="1:15" ht="26.4" x14ac:dyDescent="0.3">
      <c r="A476" s="6" t="s">
        <v>2556</v>
      </c>
      <c r="B476" s="7" t="s">
        <v>2539</v>
      </c>
      <c r="C476" s="7" t="s">
        <v>2540</v>
      </c>
      <c r="D476" s="7" t="s">
        <v>2557</v>
      </c>
      <c r="E476" s="7" t="s">
        <v>2558</v>
      </c>
      <c r="F476" s="7" t="s">
        <v>1821</v>
      </c>
      <c r="G476" s="7" t="s">
        <v>2559</v>
      </c>
      <c r="H476" s="7" t="s">
        <v>2560</v>
      </c>
      <c r="I476" s="6" t="s">
        <v>37</v>
      </c>
      <c r="J476" s="8"/>
      <c r="K476" s="8" t="s">
        <v>79</v>
      </c>
      <c r="L476" s="9"/>
      <c r="M476" s="9"/>
      <c r="N476" s="8"/>
      <c r="O476" s="10"/>
    </row>
    <row r="477" spans="1:15" ht="39.6" x14ac:dyDescent="0.3">
      <c r="A477" s="11" t="s">
        <v>2561</v>
      </c>
      <c r="B477" s="12" t="s">
        <v>2539</v>
      </c>
      <c r="C477" s="12" t="s">
        <v>2562</v>
      </c>
      <c r="D477" s="12" t="s">
        <v>2563</v>
      </c>
      <c r="E477" s="12" t="s">
        <v>2564</v>
      </c>
      <c r="F477" s="12" t="s">
        <v>2565</v>
      </c>
      <c r="G477" s="12" t="s">
        <v>2566</v>
      </c>
      <c r="H477" s="12" t="s">
        <v>2567</v>
      </c>
      <c r="I477" s="11" t="s">
        <v>37</v>
      </c>
      <c r="J477" s="8"/>
      <c r="K477" s="8" t="s">
        <v>79</v>
      </c>
      <c r="L477" s="9"/>
      <c r="M477" s="9"/>
      <c r="N477" s="8"/>
      <c r="O477" s="10"/>
    </row>
    <row r="478" spans="1:15" ht="39.6" x14ac:dyDescent="0.3">
      <c r="A478" s="6" t="s">
        <v>2568</v>
      </c>
      <c r="B478" s="7" t="s">
        <v>2539</v>
      </c>
      <c r="C478" s="7" t="s">
        <v>2569</v>
      </c>
      <c r="D478" s="7" t="s">
        <v>2570</v>
      </c>
      <c r="E478" s="7" t="s">
        <v>2571</v>
      </c>
      <c r="F478" s="7" t="s">
        <v>48</v>
      </c>
      <c r="G478" s="7" t="s">
        <v>2572</v>
      </c>
      <c r="H478" s="7" t="s">
        <v>2573</v>
      </c>
      <c r="I478" s="6" t="s">
        <v>37</v>
      </c>
      <c r="J478" s="8"/>
      <c r="K478" s="8" t="s">
        <v>79</v>
      </c>
      <c r="L478" s="9"/>
      <c r="M478" s="9"/>
      <c r="N478" s="8"/>
      <c r="O478" s="10"/>
    </row>
    <row r="479" spans="1:15" ht="26.4" x14ac:dyDescent="0.3">
      <c r="A479" s="11" t="s">
        <v>2574</v>
      </c>
      <c r="B479" s="12" t="s">
        <v>2539</v>
      </c>
      <c r="C479" s="12" t="s">
        <v>2575</v>
      </c>
      <c r="D479" s="12" t="s">
        <v>1693</v>
      </c>
      <c r="E479" s="12" t="s">
        <v>2576</v>
      </c>
      <c r="F479" s="12" t="s">
        <v>76</v>
      </c>
      <c r="G479" s="12" t="s">
        <v>77</v>
      </c>
      <c r="H479" s="12" t="s">
        <v>2577</v>
      </c>
      <c r="I479" s="11" t="s">
        <v>37</v>
      </c>
      <c r="J479" s="8"/>
      <c r="K479" s="8" t="s">
        <v>79</v>
      </c>
      <c r="L479" s="9"/>
      <c r="M479" s="9"/>
      <c r="N479" s="8"/>
      <c r="O479" s="10"/>
    </row>
    <row r="480" spans="1:15" ht="39.6" x14ac:dyDescent="0.3">
      <c r="A480" s="6" t="s">
        <v>2578</v>
      </c>
      <c r="B480" s="7" t="s">
        <v>2539</v>
      </c>
      <c r="C480" s="7" t="s">
        <v>2579</v>
      </c>
      <c r="D480" s="7" t="s">
        <v>2580</v>
      </c>
      <c r="E480" s="7" t="s">
        <v>2581</v>
      </c>
      <c r="F480" s="7" t="s">
        <v>2220</v>
      </c>
      <c r="G480" s="7" t="s">
        <v>2582</v>
      </c>
      <c r="H480" s="7" t="s">
        <v>2583</v>
      </c>
      <c r="I480" s="6" t="s">
        <v>37</v>
      </c>
      <c r="J480" s="8"/>
      <c r="K480" s="8" t="s">
        <v>79</v>
      </c>
      <c r="L480" s="9"/>
      <c r="M480" s="9"/>
      <c r="N480" s="8"/>
      <c r="O480" s="10"/>
    </row>
    <row r="481" spans="1:15" ht="26.4" x14ac:dyDescent="0.3">
      <c r="A481" s="11" t="s">
        <v>2584</v>
      </c>
      <c r="B481" s="12" t="s">
        <v>2539</v>
      </c>
      <c r="C481" s="12" t="s">
        <v>2579</v>
      </c>
      <c r="D481" s="12" t="s">
        <v>2585</v>
      </c>
      <c r="E481" s="12" t="s">
        <v>2586</v>
      </c>
      <c r="F481" s="12" t="s">
        <v>2220</v>
      </c>
      <c r="G481" s="12" t="s">
        <v>77</v>
      </c>
      <c r="H481" s="12" t="s">
        <v>2587</v>
      </c>
      <c r="I481" s="11" t="s">
        <v>37</v>
      </c>
      <c r="J481" s="8"/>
      <c r="K481" s="8" t="s">
        <v>79</v>
      </c>
      <c r="L481" s="9"/>
      <c r="M481" s="9"/>
      <c r="N481" s="8"/>
      <c r="O481" s="10"/>
    </row>
    <row r="482" spans="1:15" ht="39.6" x14ac:dyDescent="0.3">
      <c r="A482" s="6" t="s">
        <v>2588</v>
      </c>
      <c r="B482" s="7" t="s">
        <v>2539</v>
      </c>
      <c r="C482" s="7" t="s">
        <v>2579</v>
      </c>
      <c r="D482" s="7" t="s">
        <v>2589</v>
      </c>
      <c r="E482" s="7" t="s">
        <v>2590</v>
      </c>
      <c r="F482" s="7" t="s">
        <v>2220</v>
      </c>
      <c r="G482" s="7" t="s">
        <v>77</v>
      </c>
      <c r="H482" s="7" t="s">
        <v>2591</v>
      </c>
      <c r="I482" s="6" t="s">
        <v>37</v>
      </c>
      <c r="J482" s="8"/>
      <c r="K482" s="8" t="s">
        <v>79</v>
      </c>
      <c r="L482" s="9"/>
      <c r="M482" s="9"/>
      <c r="N482" s="8"/>
      <c r="O482" s="10"/>
    </row>
    <row r="483" spans="1:15" ht="39.6" x14ac:dyDescent="0.3">
      <c r="A483" s="11" t="s">
        <v>2592</v>
      </c>
      <c r="B483" s="12" t="s">
        <v>2539</v>
      </c>
      <c r="C483" s="12" t="s">
        <v>2579</v>
      </c>
      <c r="D483" s="12" t="s">
        <v>2593</v>
      </c>
      <c r="E483" s="12" t="s">
        <v>2594</v>
      </c>
      <c r="F483" s="12" t="s">
        <v>48</v>
      </c>
      <c r="G483" s="12" t="s">
        <v>2595</v>
      </c>
      <c r="H483" s="12" t="s">
        <v>2596</v>
      </c>
      <c r="I483" s="11" t="s">
        <v>37</v>
      </c>
      <c r="J483" s="8"/>
      <c r="K483" s="8" t="s">
        <v>79</v>
      </c>
      <c r="L483" s="9"/>
      <c r="M483" s="9"/>
      <c r="N483" s="8"/>
      <c r="O483" s="10"/>
    </row>
    <row r="484" spans="1:15" ht="39.6" x14ac:dyDescent="0.3">
      <c r="A484" s="6" t="s">
        <v>2597</v>
      </c>
      <c r="B484" s="7" t="s">
        <v>2539</v>
      </c>
      <c r="C484" s="7" t="s">
        <v>2579</v>
      </c>
      <c r="D484" s="7" t="s">
        <v>2598</v>
      </c>
      <c r="E484" s="7" t="s">
        <v>2599</v>
      </c>
      <c r="F484" s="7" t="s">
        <v>48</v>
      </c>
      <c r="G484" s="7" t="s">
        <v>2600</v>
      </c>
      <c r="H484" s="7" t="s">
        <v>2601</v>
      </c>
      <c r="I484" s="6" t="s">
        <v>37</v>
      </c>
      <c r="J484" s="8"/>
      <c r="K484" s="8" t="s">
        <v>79</v>
      </c>
      <c r="L484" s="9"/>
      <c r="M484" s="9"/>
      <c r="N484" s="8"/>
      <c r="O484" s="10"/>
    </row>
    <row r="485" spans="1:15" ht="52.8" x14ac:dyDescent="0.3">
      <c r="A485" s="11" t="s">
        <v>2602</v>
      </c>
      <c r="B485" s="12" t="s">
        <v>2539</v>
      </c>
      <c r="C485" s="12" t="s">
        <v>2603</v>
      </c>
      <c r="D485" s="12" t="s">
        <v>2604</v>
      </c>
      <c r="E485" s="12" t="s">
        <v>2605</v>
      </c>
      <c r="F485" s="12" t="s">
        <v>2606</v>
      </c>
      <c r="G485" s="12" t="s">
        <v>2607</v>
      </c>
      <c r="H485" s="12" t="s">
        <v>2608</v>
      </c>
      <c r="I485" s="11" t="s">
        <v>37</v>
      </c>
      <c r="J485" s="8"/>
      <c r="K485" s="8" t="s">
        <v>79</v>
      </c>
      <c r="L485" s="9"/>
      <c r="M485" s="9"/>
      <c r="N485" s="8"/>
      <c r="O485" s="10"/>
    </row>
    <row r="486" spans="1:15" ht="66" x14ac:dyDescent="0.3">
      <c r="A486" s="6" t="s">
        <v>2609</v>
      </c>
      <c r="B486" s="7" t="s">
        <v>2539</v>
      </c>
      <c r="C486" s="7" t="s">
        <v>2610</v>
      </c>
      <c r="D486" s="7" t="s">
        <v>2611</v>
      </c>
      <c r="E486" s="7" t="s">
        <v>2612</v>
      </c>
      <c r="F486" s="7" t="s">
        <v>76</v>
      </c>
      <c r="G486" s="7" t="s">
        <v>2613</v>
      </c>
      <c r="H486" s="7" t="s">
        <v>2614</v>
      </c>
      <c r="I486" s="6" t="s">
        <v>37</v>
      </c>
      <c r="J486" s="8"/>
      <c r="K486" s="8" t="s">
        <v>79</v>
      </c>
      <c r="L486" s="9"/>
      <c r="M486" s="9"/>
      <c r="N486" s="8"/>
      <c r="O486" s="10"/>
    </row>
    <row r="487" spans="1:15" ht="52.8" x14ac:dyDescent="0.3">
      <c r="A487" s="11" t="s">
        <v>2615</v>
      </c>
      <c r="B487" s="12" t="s">
        <v>2539</v>
      </c>
      <c r="C487" s="12" t="s">
        <v>2616</v>
      </c>
      <c r="D487" s="12" t="s">
        <v>2617</v>
      </c>
      <c r="E487" s="12" t="s">
        <v>2618</v>
      </c>
      <c r="F487" s="12" t="s">
        <v>2619</v>
      </c>
      <c r="G487" s="12" t="s">
        <v>2620</v>
      </c>
      <c r="H487" s="12" t="s">
        <v>2621</v>
      </c>
      <c r="I487" s="11" t="s">
        <v>37</v>
      </c>
      <c r="J487" s="8"/>
      <c r="K487" s="8" t="s">
        <v>79</v>
      </c>
      <c r="L487" s="9"/>
      <c r="M487" s="9"/>
      <c r="N487" s="8"/>
      <c r="O487" s="10"/>
    </row>
    <row r="488" spans="1:15" ht="26.4" x14ac:dyDescent="0.3">
      <c r="A488" s="6" t="s">
        <v>2622</v>
      </c>
      <c r="B488" s="7" t="s">
        <v>2539</v>
      </c>
      <c r="C488" s="7" t="s">
        <v>2235</v>
      </c>
      <c r="D488" s="7" t="s">
        <v>2623</v>
      </c>
      <c r="E488" s="7" t="s">
        <v>2624</v>
      </c>
      <c r="F488" s="7" t="s">
        <v>2625</v>
      </c>
      <c r="G488" s="7" t="s">
        <v>2626</v>
      </c>
      <c r="H488" s="7" t="s">
        <v>2627</v>
      </c>
      <c r="I488" s="6" t="s">
        <v>37</v>
      </c>
      <c r="J488" s="8"/>
      <c r="K488" s="8" t="s">
        <v>79</v>
      </c>
      <c r="L488" s="9"/>
      <c r="M488" s="9"/>
      <c r="N488" s="8"/>
      <c r="O488" s="10"/>
    </row>
    <row r="489" spans="1:15" ht="52.8" x14ac:dyDescent="0.3">
      <c r="A489" s="11" t="s">
        <v>2628</v>
      </c>
      <c r="B489" s="12" t="s">
        <v>2539</v>
      </c>
      <c r="C489" s="12" t="s">
        <v>2235</v>
      </c>
      <c r="D489" s="12" t="s">
        <v>2629</v>
      </c>
      <c r="E489" s="12" t="s">
        <v>2630</v>
      </c>
      <c r="F489" s="12" t="s">
        <v>2238</v>
      </c>
      <c r="G489" s="12" t="s">
        <v>2631</v>
      </c>
      <c r="H489" s="12" t="s">
        <v>2632</v>
      </c>
      <c r="I489" s="11" t="s">
        <v>37</v>
      </c>
      <c r="J489" s="8"/>
      <c r="K489" s="8" t="s">
        <v>79</v>
      </c>
      <c r="L489" s="9"/>
      <c r="M489" s="9"/>
      <c r="N489" s="8"/>
      <c r="O489" s="10"/>
    </row>
    <row r="490" spans="1:15" ht="26.4" x14ac:dyDescent="0.3">
      <c r="A490" s="6" t="s">
        <v>2633</v>
      </c>
      <c r="B490" s="7" t="s">
        <v>2634</v>
      </c>
      <c r="C490" s="7" t="s">
        <v>2635</v>
      </c>
      <c r="D490" s="7" t="s">
        <v>2636</v>
      </c>
      <c r="E490" s="7" t="s">
        <v>2637</v>
      </c>
      <c r="F490" s="7" t="s">
        <v>48</v>
      </c>
      <c r="G490" s="7" t="s">
        <v>2638</v>
      </c>
      <c r="H490" s="7" t="s">
        <v>2639</v>
      </c>
      <c r="I490" s="6" t="s">
        <v>37</v>
      </c>
      <c r="J490" s="8"/>
      <c r="K490" s="8" t="s">
        <v>79</v>
      </c>
      <c r="L490" s="9"/>
      <c r="M490" s="9"/>
      <c r="N490" s="8"/>
      <c r="O490" s="10"/>
    </row>
    <row r="491" spans="1:15" ht="39.6" x14ac:dyDescent="0.3">
      <c r="A491" s="11" t="s">
        <v>2640</v>
      </c>
      <c r="B491" s="12" t="s">
        <v>2634</v>
      </c>
      <c r="C491" s="12" t="s">
        <v>2635</v>
      </c>
      <c r="D491" s="12" t="s">
        <v>2641</v>
      </c>
      <c r="E491" s="12" t="s">
        <v>2642</v>
      </c>
      <c r="F491" s="12" t="s">
        <v>48</v>
      </c>
      <c r="G491" s="12" t="s">
        <v>2643</v>
      </c>
      <c r="H491" s="12" t="s">
        <v>2644</v>
      </c>
      <c r="I491" s="11" t="s">
        <v>37</v>
      </c>
      <c r="J491" s="8"/>
      <c r="K491" s="8" t="s">
        <v>79</v>
      </c>
      <c r="L491" s="9"/>
      <c r="M491" s="9"/>
      <c r="N491" s="8"/>
      <c r="O491" s="10"/>
    </row>
    <row r="492" spans="1:15" ht="26.4" x14ac:dyDescent="0.3">
      <c r="A492" s="6" t="s">
        <v>2645</v>
      </c>
      <c r="B492" s="7" t="s">
        <v>2634</v>
      </c>
      <c r="C492" s="7" t="s">
        <v>2635</v>
      </c>
      <c r="D492" s="7" t="s">
        <v>2646</v>
      </c>
      <c r="E492" s="7" t="s">
        <v>2647</v>
      </c>
      <c r="F492" s="7" t="s">
        <v>48</v>
      </c>
      <c r="G492" s="7" t="s">
        <v>77</v>
      </c>
      <c r="H492" s="7" t="s">
        <v>2648</v>
      </c>
      <c r="I492" s="6" t="s">
        <v>37</v>
      </c>
      <c r="J492" s="8"/>
      <c r="K492" s="8" t="s">
        <v>79</v>
      </c>
      <c r="L492" s="9"/>
      <c r="M492" s="9"/>
      <c r="N492" s="8"/>
      <c r="O492" s="10"/>
    </row>
    <row r="493" spans="1:15" ht="26.4" x14ac:dyDescent="0.3">
      <c r="A493" s="11" t="s">
        <v>2649</v>
      </c>
      <c r="B493" s="12" t="s">
        <v>2634</v>
      </c>
      <c r="C493" s="12" t="s">
        <v>2635</v>
      </c>
      <c r="D493" s="12" t="s">
        <v>2650</v>
      </c>
      <c r="E493" s="12" t="s">
        <v>2651</v>
      </c>
      <c r="F493" s="12" t="s">
        <v>48</v>
      </c>
      <c r="G493" s="12" t="s">
        <v>77</v>
      </c>
      <c r="H493" s="12" t="s">
        <v>2652</v>
      </c>
      <c r="I493" s="11" t="s">
        <v>37</v>
      </c>
      <c r="J493" s="8"/>
      <c r="K493" s="8" t="s">
        <v>79</v>
      </c>
      <c r="L493" s="9"/>
      <c r="M493" s="9"/>
      <c r="N493" s="8"/>
      <c r="O493" s="10"/>
    </row>
    <row r="494" spans="1:15" ht="26.4" x14ac:dyDescent="0.3">
      <c r="A494" s="6" t="s">
        <v>2653</v>
      </c>
      <c r="B494" s="7" t="s">
        <v>2634</v>
      </c>
      <c r="C494" s="7" t="s">
        <v>2635</v>
      </c>
      <c r="D494" s="7" t="s">
        <v>2654</v>
      </c>
      <c r="E494" s="7" t="s">
        <v>2655</v>
      </c>
      <c r="F494" s="7" t="s">
        <v>48</v>
      </c>
      <c r="G494" s="7" t="s">
        <v>2656</v>
      </c>
      <c r="H494" s="7" t="s">
        <v>2657</v>
      </c>
      <c r="I494" s="6" t="s">
        <v>37</v>
      </c>
      <c r="J494" s="8"/>
      <c r="K494" s="8" t="s">
        <v>79</v>
      </c>
      <c r="L494" s="9"/>
      <c r="M494" s="9"/>
      <c r="N494" s="8"/>
      <c r="O494" s="10"/>
    </row>
    <row r="495" spans="1:15" ht="39.6" x14ac:dyDescent="0.3">
      <c r="A495" s="11" t="s">
        <v>2658</v>
      </c>
      <c r="B495" s="12" t="s">
        <v>2634</v>
      </c>
      <c r="C495" s="12" t="s">
        <v>2635</v>
      </c>
      <c r="D495" s="12" t="s">
        <v>2659</v>
      </c>
      <c r="E495" s="12" t="s">
        <v>2660</v>
      </c>
      <c r="F495" s="12" t="s">
        <v>48</v>
      </c>
      <c r="G495" s="12" t="s">
        <v>2661</v>
      </c>
      <c r="H495" s="12" t="s">
        <v>2662</v>
      </c>
      <c r="I495" s="11" t="s">
        <v>37</v>
      </c>
      <c r="J495" s="8"/>
      <c r="K495" s="8" t="s">
        <v>79</v>
      </c>
      <c r="L495" s="9"/>
      <c r="M495" s="9"/>
      <c r="N495" s="8"/>
      <c r="O495" s="10"/>
    </row>
    <row r="496" spans="1:15" ht="39.6" x14ac:dyDescent="0.3">
      <c r="A496" s="6" t="s">
        <v>2663</v>
      </c>
      <c r="B496" s="7" t="s">
        <v>2634</v>
      </c>
      <c r="C496" s="7" t="s">
        <v>2635</v>
      </c>
      <c r="D496" s="7" t="s">
        <v>2664</v>
      </c>
      <c r="E496" s="7" t="s">
        <v>2665</v>
      </c>
      <c r="F496" s="7" t="s">
        <v>48</v>
      </c>
      <c r="G496" s="7" t="s">
        <v>77</v>
      </c>
      <c r="H496" s="7" t="s">
        <v>2666</v>
      </c>
      <c r="I496" s="6" t="s">
        <v>37</v>
      </c>
      <c r="J496" s="8"/>
      <c r="K496" s="8" t="s">
        <v>79</v>
      </c>
      <c r="L496" s="9"/>
      <c r="M496" s="9"/>
      <c r="N496" s="8"/>
      <c r="O496" s="10"/>
    </row>
    <row r="497" spans="1:15" ht="66" x14ac:dyDescent="0.3">
      <c r="A497" s="11" t="s">
        <v>2667</v>
      </c>
      <c r="B497" s="12" t="s">
        <v>2634</v>
      </c>
      <c r="C497" s="12" t="s">
        <v>2668</v>
      </c>
      <c r="D497" s="12" t="s">
        <v>2669</v>
      </c>
      <c r="E497" s="12" t="s">
        <v>2670</v>
      </c>
      <c r="F497" s="12" t="s">
        <v>48</v>
      </c>
      <c r="G497" s="12" t="s">
        <v>2671</v>
      </c>
      <c r="H497" s="12" t="s">
        <v>2672</v>
      </c>
      <c r="I497" s="11" t="s">
        <v>37</v>
      </c>
      <c r="J497" s="8"/>
      <c r="K497" s="8" t="s">
        <v>79</v>
      </c>
      <c r="L497" s="9"/>
      <c r="M497" s="9"/>
      <c r="N497" s="8"/>
      <c r="O497" s="10"/>
    </row>
    <row r="498" spans="1:15" ht="39.6" x14ac:dyDescent="0.3">
      <c r="A498" s="6" t="s">
        <v>2673</v>
      </c>
      <c r="B498" s="7" t="s">
        <v>2634</v>
      </c>
      <c r="C498" s="7" t="s">
        <v>2668</v>
      </c>
      <c r="D498" s="7" t="s">
        <v>2674</v>
      </c>
      <c r="E498" s="7" t="s">
        <v>2675</v>
      </c>
      <c r="F498" s="7" t="s">
        <v>48</v>
      </c>
      <c r="G498" s="7" t="s">
        <v>2676</v>
      </c>
      <c r="H498" s="7" t="s">
        <v>2677</v>
      </c>
      <c r="I498" s="6" t="s">
        <v>37</v>
      </c>
      <c r="J498" s="8"/>
      <c r="K498" s="8" t="s">
        <v>79</v>
      </c>
      <c r="L498" s="9"/>
      <c r="M498" s="9"/>
      <c r="N498" s="8"/>
      <c r="O498" s="10"/>
    </row>
    <row r="499" spans="1:15" ht="26.4" x14ac:dyDescent="0.3">
      <c r="A499" s="11" t="s">
        <v>2678</v>
      </c>
      <c r="B499" s="12" t="s">
        <v>2679</v>
      </c>
      <c r="C499" s="12" t="s">
        <v>2680</v>
      </c>
      <c r="D499" s="12" t="s">
        <v>2530</v>
      </c>
      <c r="E499" s="12" t="s">
        <v>2681</v>
      </c>
      <c r="F499" s="12" t="s">
        <v>2682</v>
      </c>
      <c r="G499" s="12" t="s">
        <v>2683</v>
      </c>
      <c r="H499" s="12" t="s">
        <v>2684</v>
      </c>
      <c r="I499" s="11" t="s">
        <v>37</v>
      </c>
      <c r="J499" s="8"/>
      <c r="K499" s="8" t="s">
        <v>79</v>
      </c>
      <c r="L499" s="9"/>
      <c r="M499" s="9"/>
      <c r="N499" s="8"/>
      <c r="O499" s="10"/>
    </row>
    <row r="500" spans="1:15" ht="39.6" x14ac:dyDescent="0.3">
      <c r="A500" s="6" t="s">
        <v>2685</v>
      </c>
      <c r="B500" s="7" t="s">
        <v>2679</v>
      </c>
      <c r="C500" s="7" t="s">
        <v>2680</v>
      </c>
      <c r="D500" s="7" t="s">
        <v>2686</v>
      </c>
      <c r="E500" s="7" t="s">
        <v>2687</v>
      </c>
      <c r="F500" s="7" t="s">
        <v>2688</v>
      </c>
      <c r="G500" s="7" t="s">
        <v>2689</v>
      </c>
      <c r="H500" s="7" t="s">
        <v>2690</v>
      </c>
      <c r="I500" s="6" t="s">
        <v>37</v>
      </c>
      <c r="J500" s="8"/>
      <c r="K500" s="8" t="s">
        <v>79</v>
      </c>
      <c r="L500" s="9"/>
      <c r="M500" s="9"/>
      <c r="N500" s="8"/>
      <c r="O500" s="10"/>
    </row>
    <row r="501" spans="1:15" ht="66" x14ac:dyDescent="0.3">
      <c r="A501" s="11" t="s">
        <v>2691</v>
      </c>
      <c r="B501" s="12" t="s">
        <v>2679</v>
      </c>
      <c r="C501" s="12" t="s">
        <v>2692</v>
      </c>
      <c r="D501" s="12" t="s">
        <v>2693</v>
      </c>
      <c r="E501" s="12" t="s">
        <v>2694</v>
      </c>
      <c r="F501" s="12" t="s">
        <v>76</v>
      </c>
      <c r="G501" s="12" t="s">
        <v>77</v>
      </c>
      <c r="H501" s="12" t="s">
        <v>2695</v>
      </c>
      <c r="I501" s="11" t="s">
        <v>37</v>
      </c>
      <c r="J501" s="8"/>
      <c r="K501" s="8" t="s">
        <v>79</v>
      </c>
      <c r="L501" s="9"/>
      <c r="M501" s="9"/>
      <c r="N501" s="8"/>
      <c r="O501" s="10"/>
    </row>
    <row r="502" spans="1:15" ht="52.8" x14ac:dyDescent="0.3">
      <c r="A502" s="6" t="s">
        <v>2696</v>
      </c>
      <c r="B502" s="7" t="s">
        <v>2679</v>
      </c>
      <c r="C502" s="7" t="s">
        <v>2692</v>
      </c>
      <c r="D502" s="7" t="s">
        <v>2697</v>
      </c>
      <c r="E502" s="7" t="s">
        <v>2698</v>
      </c>
      <c r="F502" s="7" t="s">
        <v>76</v>
      </c>
      <c r="G502" s="7" t="s">
        <v>2699</v>
      </c>
      <c r="H502" s="7" t="s">
        <v>2700</v>
      </c>
      <c r="I502" s="6" t="s">
        <v>37</v>
      </c>
      <c r="J502" s="8"/>
      <c r="K502" s="8" t="s">
        <v>79</v>
      </c>
      <c r="L502" s="9"/>
      <c r="M502" s="9"/>
      <c r="N502" s="8"/>
      <c r="O502" s="10"/>
    </row>
    <row r="503" spans="1:15" ht="52.8" x14ac:dyDescent="0.3">
      <c r="A503" s="11" t="s">
        <v>2701</v>
      </c>
      <c r="B503" s="12" t="s">
        <v>2679</v>
      </c>
      <c r="C503" s="12" t="s">
        <v>2702</v>
      </c>
      <c r="D503" s="12" t="s">
        <v>2703</v>
      </c>
      <c r="E503" s="12" t="s">
        <v>2704</v>
      </c>
      <c r="F503" s="12" t="s">
        <v>48</v>
      </c>
      <c r="G503" s="12" t="s">
        <v>2705</v>
      </c>
      <c r="H503" s="12" t="s">
        <v>2706</v>
      </c>
      <c r="I503" s="11" t="s">
        <v>37</v>
      </c>
      <c r="J503" s="8"/>
      <c r="K503" s="8" t="s">
        <v>79</v>
      </c>
      <c r="L503" s="9"/>
      <c r="M503" s="9"/>
      <c r="N503" s="8"/>
      <c r="O503" s="10"/>
    </row>
    <row r="504" spans="1:15" ht="39.6" x14ac:dyDescent="0.3">
      <c r="A504" s="6" t="s">
        <v>2707</v>
      </c>
      <c r="B504" s="7" t="s">
        <v>2679</v>
      </c>
      <c r="C504" s="7" t="s">
        <v>2702</v>
      </c>
      <c r="D504" s="7" t="s">
        <v>2708</v>
      </c>
      <c r="E504" s="7" t="s">
        <v>2709</v>
      </c>
      <c r="F504" s="7" t="s">
        <v>48</v>
      </c>
      <c r="G504" s="7" t="s">
        <v>2710</v>
      </c>
      <c r="H504" s="7" t="s">
        <v>2711</v>
      </c>
      <c r="I504" s="6" t="s">
        <v>37</v>
      </c>
      <c r="J504" s="8"/>
      <c r="K504" s="8" t="s">
        <v>79</v>
      </c>
      <c r="L504" s="9"/>
      <c r="M504" s="9"/>
      <c r="N504" s="8"/>
      <c r="O504" s="10"/>
    </row>
    <row r="505" spans="1:15" ht="39.6" x14ac:dyDescent="0.3">
      <c r="A505" s="11" t="s">
        <v>2712</v>
      </c>
      <c r="B505" s="12" t="s">
        <v>2679</v>
      </c>
      <c r="C505" s="12" t="s">
        <v>2692</v>
      </c>
      <c r="D505" s="12" t="s">
        <v>2713</v>
      </c>
      <c r="E505" s="12" t="s">
        <v>2714</v>
      </c>
      <c r="F505" s="12" t="s">
        <v>48</v>
      </c>
      <c r="G505" s="12" t="s">
        <v>2715</v>
      </c>
      <c r="H505" s="12" t="s">
        <v>2716</v>
      </c>
      <c r="I505" s="11" t="s">
        <v>37</v>
      </c>
      <c r="J505" s="8"/>
      <c r="K505" s="8" t="s">
        <v>79</v>
      </c>
      <c r="L505" s="9"/>
      <c r="M505" s="9"/>
      <c r="N505" s="8"/>
      <c r="O505" s="10"/>
    </row>
    <row r="506" spans="1:15" ht="39.6" x14ac:dyDescent="0.3">
      <c r="A506" s="6" t="s">
        <v>2717</v>
      </c>
      <c r="B506" s="7" t="s">
        <v>2679</v>
      </c>
      <c r="C506" s="7" t="s">
        <v>2692</v>
      </c>
      <c r="D506" s="7" t="s">
        <v>2718</v>
      </c>
      <c r="E506" s="7" t="s">
        <v>2719</v>
      </c>
      <c r="F506" s="7" t="s">
        <v>2720</v>
      </c>
      <c r="G506" s="7" t="s">
        <v>2721</v>
      </c>
      <c r="H506" s="7" t="s">
        <v>2722</v>
      </c>
      <c r="I506" s="6" t="s">
        <v>37</v>
      </c>
      <c r="J506" s="8"/>
      <c r="K506" s="8" t="s">
        <v>79</v>
      </c>
      <c r="L506" s="9"/>
      <c r="M506" s="9"/>
      <c r="N506" s="8"/>
      <c r="O506" s="10"/>
    </row>
    <row r="507" spans="1:15" ht="39.6" x14ac:dyDescent="0.3">
      <c r="A507" s="11" t="s">
        <v>2723</v>
      </c>
      <c r="B507" s="12" t="s">
        <v>2724</v>
      </c>
      <c r="C507" s="12" t="s">
        <v>2725</v>
      </c>
      <c r="D507" s="12" t="s">
        <v>2726</v>
      </c>
      <c r="E507" s="12" t="s">
        <v>2727</v>
      </c>
      <c r="F507" s="12" t="s">
        <v>48</v>
      </c>
      <c r="G507" s="12" t="s">
        <v>2728</v>
      </c>
      <c r="H507" s="12" t="s">
        <v>2729</v>
      </c>
      <c r="I507" s="11" t="s">
        <v>37</v>
      </c>
      <c r="J507" s="8"/>
      <c r="K507" s="8" t="s">
        <v>79</v>
      </c>
      <c r="L507" s="9"/>
      <c r="M507" s="9"/>
      <c r="N507" s="8"/>
      <c r="O507" s="10"/>
    </row>
    <row r="508" spans="1:15" ht="52.8" x14ac:dyDescent="0.3">
      <c r="A508" s="6" t="s">
        <v>2730</v>
      </c>
      <c r="B508" s="7" t="s">
        <v>2724</v>
      </c>
      <c r="C508" s="7" t="s">
        <v>2725</v>
      </c>
      <c r="D508" s="7" t="s">
        <v>2731</v>
      </c>
      <c r="E508" s="7" t="s">
        <v>2732</v>
      </c>
      <c r="F508" s="7" t="s">
        <v>48</v>
      </c>
      <c r="G508" s="7" t="s">
        <v>77</v>
      </c>
      <c r="H508" s="7" t="s">
        <v>2733</v>
      </c>
      <c r="I508" s="6" t="s">
        <v>37</v>
      </c>
      <c r="J508" s="8"/>
      <c r="K508" s="8" t="s">
        <v>79</v>
      </c>
      <c r="L508" s="9"/>
      <c r="M508" s="9"/>
      <c r="N508" s="8"/>
      <c r="O508" s="10"/>
    </row>
    <row r="509" spans="1:15" ht="52.8" x14ac:dyDescent="0.3">
      <c r="A509" s="11" t="s">
        <v>2734</v>
      </c>
      <c r="B509" s="12" t="s">
        <v>2724</v>
      </c>
      <c r="C509" s="12" t="s">
        <v>2725</v>
      </c>
      <c r="D509" s="12" t="s">
        <v>2735</v>
      </c>
      <c r="E509" s="12" t="s">
        <v>2736</v>
      </c>
      <c r="F509" s="12" t="s">
        <v>48</v>
      </c>
      <c r="G509" s="12" t="s">
        <v>2737</v>
      </c>
      <c r="H509" s="12" t="s">
        <v>2738</v>
      </c>
      <c r="I509" s="11" t="s">
        <v>37</v>
      </c>
      <c r="J509" s="8"/>
      <c r="K509" s="8" t="s">
        <v>79</v>
      </c>
      <c r="L509" s="9"/>
      <c r="M509" s="9"/>
      <c r="N509" s="8"/>
      <c r="O509" s="10"/>
    </row>
    <row r="510" spans="1:15" ht="52.8" x14ac:dyDescent="0.3">
      <c r="A510" s="6" t="s">
        <v>2739</v>
      </c>
      <c r="B510" s="7" t="s">
        <v>2724</v>
      </c>
      <c r="C510" s="7" t="s">
        <v>2740</v>
      </c>
      <c r="D510" s="7" t="s">
        <v>2741</v>
      </c>
      <c r="E510" s="7" t="s">
        <v>2742</v>
      </c>
      <c r="F510" s="7" t="s">
        <v>54</v>
      </c>
      <c r="G510" s="7" t="s">
        <v>2292</v>
      </c>
      <c r="H510" s="7" t="s">
        <v>2743</v>
      </c>
      <c r="I510" s="6" t="s">
        <v>37</v>
      </c>
      <c r="J510" s="8"/>
      <c r="K510" s="8" t="s">
        <v>79</v>
      </c>
      <c r="L510" s="9"/>
      <c r="M510" s="9"/>
      <c r="N510" s="8"/>
      <c r="O510" s="10"/>
    </row>
    <row r="511" spans="1:15" ht="26.4" x14ac:dyDescent="0.3">
      <c r="A511" s="11" t="s">
        <v>2744</v>
      </c>
      <c r="B511" s="12" t="s">
        <v>2724</v>
      </c>
      <c r="C511" s="12" t="s">
        <v>2745</v>
      </c>
      <c r="D511" s="12" t="s">
        <v>2746</v>
      </c>
      <c r="E511" s="12" t="s">
        <v>2747</v>
      </c>
      <c r="F511" s="12" t="s">
        <v>48</v>
      </c>
      <c r="G511" s="12" t="s">
        <v>2748</v>
      </c>
      <c r="H511" s="12" t="s">
        <v>2749</v>
      </c>
      <c r="I511" s="11" t="s">
        <v>37</v>
      </c>
      <c r="J511" s="8"/>
      <c r="K511" s="8" t="s">
        <v>79</v>
      </c>
      <c r="L511" s="9"/>
      <c r="M511" s="9"/>
      <c r="N511" s="8"/>
      <c r="O511" s="10"/>
    </row>
    <row r="512" spans="1:15" ht="39.6" x14ac:dyDescent="0.3">
      <c r="A512" s="6" t="s">
        <v>2750</v>
      </c>
      <c r="B512" s="7" t="s">
        <v>2751</v>
      </c>
      <c r="C512" s="7" t="s">
        <v>1957</v>
      </c>
      <c r="D512" s="7" t="s">
        <v>2752</v>
      </c>
      <c r="E512" s="7" t="s">
        <v>2753</v>
      </c>
      <c r="F512" s="7" t="s">
        <v>48</v>
      </c>
      <c r="G512" s="7" t="s">
        <v>77</v>
      </c>
      <c r="H512" s="7" t="s">
        <v>2754</v>
      </c>
      <c r="I512" s="6" t="s">
        <v>37</v>
      </c>
      <c r="J512" s="8"/>
      <c r="K512" s="8" t="s">
        <v>79</v>
      </c>
      <c r="L512" s="9"/>
      <c r="M512" s="9"/>
      <c r="N512" s="8"/>
      <c r="O512" s="10"/>
    </row>
    <row r="513" spans="1:15" ht="39.6" x14ac:dyDescent="0.3">
      <c r="A513" s="11" t="s">
        <v>2755</v>
      </c>
      <c r="B513" s="12" t="s">
        <v>2751</v>
      </c>
      <c r="C513" s="12" t="s">
        <v>1957</v>
      </c>
      <c r="D513" s="12" t="s">
        <v>2756</v>
      </c>
      <c r="E513" s="12" t="s">
        <v>2757</v>
      </c>
      <c r="F513" s="12" t="s">
        <v>76</v>
      </c>
      <c r="G513" s="12" t="s">
        <v>2758</v>
      </c>
      <c r="H513" s="12" t="s">
        <v>2759</v>
      </c>
      <c r="I513" s="11" t="s">
        <v>37</v>
      </c>
      <c r="J513" s="8"/>
      <c r="K513" s="8" t="s">
        <v>79</v>
      </c>
      <c r="L513" s="9"/>
      <c r="M513" s="9"/>
      <c r="N513" s="8"/>
      <c r="O513" s="10"/>
    </row>
    <row r="514" spans="1:15" ht="26.4" x14ac:dyDescent="0.3">
      <c r="A514" s="6" t="s">
        <v>2760</v>
      </c>
      <c r="B514" s="7" t="s">
        <v>2751</v>
      </c>
      <c r="C514" s="7" t="s">
        <v>2761</v>
      </c>
      <c r="D514" s="7" t="s">
        <v>2762</v>
      </c>
      <c r="E514" s="7" t="s">
        <v>2763</v>
      </c>
      <c r="F514" s="7" t="s">
        <v>48</v>
      </c>
      <c r="G514" s="7" t="s">
        <v>2764</v>
      </c>
      <c r="H514" s="7" t="s">
        <v>2765</v>
      </c>
      <c r="I514" s="6" t="s">
        <v>37</v>
      </c>
      <c r="J514" s="8"/>
      <c r="K514" s="8" t="s">
        <v>79</v>
      </c>
      <c r="L514" s="9"/>
      <c r="M514" s="9"/>
      <c r="N514" s="8"/>
      <c r="O514" s="10"/>
    </row>
    <row r="515" spans="1:15" ht="52.8" x14ac:dyDescent="0.3">
      <c r="A515" s="11" t="s">
        <v>2766</v>
      </c>
      <c r="B515" s="12" t="s">
        <v>2751</v>
      </c>
      <c r="C515" s="12" t="s">
        <v>2767</v>
      </c>
      <c r="D515" s="12" t="s">
        <v>2768</v>
      </c>
      <c r="E515" s="12" t="s">
        <v>2769</v>
      </c>
      <c r="F515" s="12" t="s">
        <v>48</v>
      </c>
      <c r="G515" s="12" t="s">
        <v>2770</v>
      </c>
      <c r="H515" s="12" t="s">
        <v>2771</v>
      </c>
      <c r="I515" s="11" t="s">
        <v>37</v>
      </c>
      <c r="J515" s="8"/>
      <c r="K515" s="8" t="s">
        <v>79</v>
      </c>
      <c r="L515" s="9"/>
      <c r="M515" s="9"/>
      <c r="N515" s="8"/>
      <c r="O515" s="10"/>
    </row>
    <row r="516" spans="1:15" ht="26.4" x14ac:dyDescent="0.3">
      <c r="A516" s="6" t="s">
        <v>2772</v>
      </c>
      <c r="B516" s="7" t="s">
        <v>2751</v>
      </c>
      <c r="C516" s="7" t="s">
        <v>2767</v>
      </c>
      <c r="D516" s="7" t="s">
        <v>2773</v>
      </c>
      <c r="E516" s="7" t="s">
        <v>2774</v>
      </c>
      <c r="F516" s="7" t="s">
        <v>48</v>
      </c>
      <c r="G516" s="7" t="s">
        <v>2775</v>
      </c>
      <c r="H516" s="7" t="s">
        <v>2776</v>
      </c>
      <c r="I516" s="6" t="s">
        <v>37</v>
      </c>
      <c r="J516" s="8"/>
      <c r="K516" s="8" t="s">
        <v>79</v>
      </c>
      <c r="L516" s="9"/>
      <c r="M516" s="9"/>
      <c r="N516" s="8"/>
      <c r="O516" s="10"/>
    </row>
    <row r="517" spans="1:15" ht="26.4" x14ac:dyDescent="0.3">
      <c r="A517" s="11" t="s">
        <v>2777</v>
      </c>
      <c r="B517" s="12" t="s">
        <v>2751</v>
      </c>
      <c r="C517" s="12" t="s">
        <v>2767</v>
      </c>
      <c r="D517" s="12" t="s">
        <v>2778</v>
      </c>
      <c r="E517" s="12" t="s">
        <v>2779</v>
      </c>
      <c r="F517" s="12" t="s">
        <v>48</v>
      </c>
      <c r="G517" s="12" t="s">
        <v>2775</v>
      </c>
      <c r="H517" s="12" t="s">
        <v>2780</v>
      </c>
      <c r="I517" s="11" t="s">
        <v>37</v>
      </c>
      <c r="J517" s="8"/>
      <c r="K517" s="8" t="s">
        <v>79</v>
      </c>
      <c r="L517" s="9"/>
      <c r="M517" s="9"/>
      <c r="N517" s="8"/>
      <c r="O517" s="10"/>
    </row>
    <row r="518" spans="1:15" ht="26.4" x14ac:dyDescent="0.3">
      <c r="A518" s="6" t="s">
        <v>2781</v>
      </c>
      <c r="B518" s="7" t="s">
        <v>2751</v>
      </c>
      <c r="C518" s="7" t="s">
        <v>2767</v>
      </c>
      <c r="D518" s="7" t="s">
        <v>2782</v>
      </c>
      <c r="E518" s="7" t="s">
        <v>2783</v>
      </c>
      <c r="F518" s="7" t="s">
        <v>48</v>
      </c>
      <c r="G518" s="7" t="s">
        <v>2775</v>
      </c>
      <c r="H518" s="7" t="s">
        <v>2784</v>
      </c>
      <c r="I518" s="6" t="s">
        <v>37</v>
      </c>
      <c r="J518" s="8"/>
      <c r="K518" s="8" t="s">
        <v>79</v>
      </c>
      <c r="L518" s="9"/>
      <c r="M518" s="9"/>
      <c r="N518" s="8"/>
      <c r="O518" s="10"/>
    </row>
    <row r="519" spans="1:15" ht="26.4" x14ac:dyDescent="0.3">
      <c r="A519" s="11" t="s">
        <v>2785</v>
      </c>
      <c r="B519" s="12" t="s">
        <v>2751</v>
      </c>
      <c r="C519" s="12" t="s">
        <v>2767</v>
      </c>
      <c r="D519" s="12" t="s">
        <v>2786</v>
      </c>
      <c r="E519" s="12" t="s">
        <v>2787</v>
      </c>
      <c r="F519" s="12" t="s">
        <v>48</v>
      </c>
      <c r="G519" s="12" t="s">
        <v>2775</v>
      </c>
      <c r="H519" s="12" t="s">
        <v>2788</v>
      </c>
      <c r="I519" s="11" t="s">
        <v>37</v>
      </c>
      <c r="J519" s="8"/>
      <c r="K519" s="8" t="s">
        <v>79</v>
      </c>
      <c r="L519" s="9"/>
      <c r="M519" s="9"/>
      <c r="N519" s="8"/>
      <c r="O519" s="10"/>
    </row>
    <row r="520" spans="1:15" ht="26.4" x14ac:dyDescent="0.3">
      <c r="A520" s="6" t="s">
        <v>2789</v>
      </c>
      <c r="B520" s="7" t="s">
        <v>2751</v>
      </c>
      <c r="C520" s="7" t="s">
        <v>2767</v>
      </c>
      <c r="D520" s="7" t="s">
        <v>2790</v>
      </c>
      <c r="E520" s="7" t="s">
        <v>2791</v>
      </c>
      <c r="F520" s="7" t="s">
        <v>48</v>
      </c>
      <c r="G520" s="7" t="s">
        <v>77</v>
      </c>
      <c r="H520" s="7" t="s">
        <v>2792</v>
      </c>
      <c r="I520" s="6" t="s">
        <v>37</v>
      </c>
      <c r="J520" s="8"/>
      <c r="K520" s="8" t="s">
        <v>79</v>
      </c>
      <c r="L520" s="9"/>
      <c r="M520" s="9"/>
      <c r="N520" s="8"/>
      <c r="O520" s="10"/>
    </row>
    <row r="521" spans="1:15" ht="26.4" x14ac:dyDescent="0.3">
      <c r="A521" s="11" t="s">
        <v>2793</v>
      </c>
      <c r="B521" s="12" t="s">
        <v>2751</v>
      </c>
      <c r="C521" s="12" t="s">
        <v>2794</v>
      </c>
      <c r="D521" s="12" t="s">
        <v>2795</v>
      </c>
      <c r="E521" s="12" t="s">
        <v>2796</v>
      </c>
      <c r="F521" s="12" t="s">
        <v>48</v>
      </c>
      <c r="G521" s="12" t="s">
        <v>77</v>
      </c>
      <c r="H521" s="12" t="s">
        <v>2797</v>
      </c>
      <c r="I521" s="11" t="s">
        <v>37</v>
      </c>
      <c r="J521" s="8"/>
      <c r="K521" s="8" t="s">
        <v>79</v>
      </c>
      <c r="L521" s="9"/>
      <c r="M521" s="9"/>
      <c r="N521" s="8"/>
      <c r="O521" s="10"/>
    </row>
    <row r="522" spans="1:15" ht="52.8" x14ac:dyDescent="0.3">
      <c r="A522" s="6" t="s">
        <v>2798</v>
      </c>
      <c r="B522" s="7" t="s">
        <v>2751</v>
      </c>
      <c r="C522" s="7" t="s">
        <v>2799</v>
      </c>
      <c r="D522" s="7" t="s">
        <v>2800</v>
      </c>
      <c r="E522" s="7" t="s">
        <v>2801</v>
      </c>
      <c r="F522" s="7" t="s">
        <v>48</v>
      </c>
      <c r="G522" s="7" t="s">
        <v>77</v>
      </c>
      <c r="H522" s="7" t="s">
        <v>2802</v>
      </c>
      <c r="I522" s="6" t="s">
        <v>37</v>
      </c>
      <c r="J522" s="8"/>
      <c r="K522" s="8" t="s">
        <v>79</v>
      </c>
      <c r="L522" s="9"/>
      <c r="M522" s="9"/>
      <c r="N522" s="8"/>
      <c r="O522" s="10"/>
    </row>
    <row r="523" spans="1:15" ht="26.4" x14ac:dyDescent="0.3">
      <c r="A523" s="11" t="s">
        <v>2803</v>
      </c>
      <c r="B523" s="12" t="s">
        <v>2751</v>
      </c>
      <c r="C523" s="12" t="s">
        <v>2799</v>
      </c>
      <c r="D523" s="12" t="s">
        <v>2804</v>
      </c>
      <c r="E523" s="12" t="s">
        <v>2805</v>
      </c>
      <c r="F523" s="12" t="s">
        <v>48</v>
      </c>
      <c r="G523" s="12" t="s">
        <v>2806</v>
      </c>
      <c r="H523" s="12" t="s">
        <v>2807</v>
      </c>
      <c r="I523" s="11" t="s">
        <v>37</v>
      </c>
      <c r="J523" s="8"/>
      <c r="K523" s="8" t="s">
        <v>79</v>
      </c>
      <c r="L523" s="9"/>
      <c r="M523" s="9"/>
      <c r="N523" s="8"/>
      <c r="O523" s="10"/>
    </row>
    <row r="524" spans="1:15" ht="26.4" x14ac:dyDescent="0.3">
      <c r="A524" s="6" t="s">
        <v>2808</v>
      </c>
      <c r="B524" s="7" t="s">
        <v>2751</v>
      </c>
      <c r="C524" s="7" t="s">
        <v>2799</v>
      </c>
      <c r="D524" s="7" t="s">
        <v>2809</v>
      </c>
      <c r="E524" s="7" t="s">
        <v>2810</v>
      </c>
      <c r="F524" s="7" t="s">
        <v>48</v>
      </c>
      <c r="G524" s="7" t="s">
        <v>2811</v>
      </c>
      <c r="H524" s="7" t="s">
        <v>2812</v>
      </c>
      <c r="I524" s="6" t="s">
        <v>37</v>
      </c>
      <c r="J524" s="8"/>
      <c r="K524" s="8" t="s">
        <v>79</v>
      </c>
      <c r="L524" s="9"/>
      <c r="M524" s="9"/>
      <c r="N524" s="8"/>
      <c r="O524" s="10"/>
    </row>
    <row r="525" spans="1:15" ht="26.4" x14ac:dyDescent="0.3">
      <c r="A525" s="11" t="s">
        <v>2813</v>
      </c>
      <c r="B525" s="12" t="s">
        <v>2751</v>
      </c>
      <c r="C525" s="12" t="s">
        <v>2799</v>
      </c>
      <c r="D525" s="12" t="s">
        <v>2814</v>
      </c>
      <c r="E525" s="12" t="s">
        <v>2815</v>
      </c>
      <c r="F525" s="12" t="s">
        <v>48</v>
      </c>
      <c r="G525" s="12" t="s">
        <v>2816</v>
      </c>
      <c r="H525" s="12" t="s">
        <v>2817</v>
      </c>
      <c r="I525" s="11" t="s">
        <v>37</v>
      </c>
      <c r="J525" s="8"/>
      <c r="K525" s="8" t="s">
        <v>79</v>
      </c>
      <c r="L525" s="9"/>
      <c r="M525" s="9"/>
      <c r="N525" s="8"/>
      <c r="O525" s="10"/>
    </row>
    <row r="526" spans="1:15" ht="52.8" x14ac:dyDescent="0.3">
      <c r="A526" s="6" t="s">
        <v>2818</v>
      </c>
      <c r="B526" s="7" t="s">
        <v>2751</v>
      </c>
      <c r="C526" s="7" t="s">
        <v>2799</v>
      </c>
      <c r="D526" s="7" t="s">
        <v>2819</v>
      </c>
      <c r="E526" s="7" t="s">
        <v>2820</v>
      </c>
      <c r="F526" s="7" t="s">
        <v>48</v>
      </c>
      <c r="G526" s="7" t="s">
        <v>2821</v>
      </c>
      <c r="H526" s="7" t="s">
        <v>2822</v>
      </c>
      <c r="I526" s="6" t="s">
        <v>37</v>
      </c>
      <c r="J526" s="8"/>
      <c r="K526" s="8" t="s">
        <v>79</v>
      </c>
      <c r="L526" s="9"/>
      <c r="M526" s="9"/>
      <c r="N526" s="8"/>
      <c r="O526" s="10"/>
    </row>
    <row r="527" spans="1:15" ht="26.4" x14ac:dyDescent="0.3">
      <c r="A527" s="11" t="s">
        <v>2823</v>
      </c>
      <c r="B527" s="12" t="s">
        <v>2751</v>
      </c>
      <c r="C527" s="12" t="s">
        <v>2799</v>
      </c>
      <c r="D527" s="12" t="s">
        <v>2824</v>
      </c>
      <c r="E527" s="12" t="s">
        <v>2825</v>
      </c>
      <c r="F527" s="12" t="s">
        <v>48</v>
      </c>
      <c r="G527" s="12" t="s">
        <v>77</v>
      </c>
      <c r="H527" s="12" t="s">
        <v>2826</v>
      </c>
      <c r="I527" s="11" t="s">
        <v>37</v>
      </c>
      <c r="J527" s="8"/>
      <c r="K527" s="8" t="s">
        <v>79</v>
      </c>
      <c r="L527" s="9"/>
      <c r="M527" s="9"/>
      <c r="N527" s="8"/>
      <c r="O527" s="10"/>
    </row>
    <row r="528" spans="1:15" ht="39.6" x14ac:dyDescent="0.3">
      <c r="A528" s="6" t="s">
        <v>2827</v>
      </c>
      <c r="B528" s="7" t="s">
        <v>2751</v>
      </c>
      <c r="C528" s="7" t="s">
        <v>2799</v>
      </c>
      <c r="D528" s="7" t="s">
        <v>2828</v>
      </c>
      <c r="E528" s="7" t="s">
        <v>2829</v>
      </c>
      <c r="F528" s="7" t="s">
        <v>48</v>
      </c>
      <c r="G528" s="7" t="s">
        <v>2830</v>
      </c>
      <c r="H528" s="7" t="s">
        <v>2831</v>
      </c>
      <c r="I528" s="6" t="s">
        <v>37</v>
      </c>
      <c r="J528" s="8"/>
      <c r="K528" s="8" t="s">
        <v>79</v>
      </c>
      <c r="L528" s="9"/>
      <c r="M528" s="9"/>
      <c r="N528" s="8"/>
      <c r="O528" s="10"/>
    </row>
    <row r="529" spans="1:15" ht="26.4" x14ac:dyDescent="0.3">
      <c r="A529" s="11" t="s">
        <v>2832</v>
      </c>
      <c r="B529" s="12" t="s">
        <v>2751</v>
      </c>
      <c r="C529" s="12" t="s">
        <v>2799</v>
      </c>
      <c r="D529" s="12" t="s">
        <v>2833</v>
      </c>
      <c r="E529" s="12" t="s">
        <v>2834</v>
      </c>
      <c r="F529" s="12" t="s">
        <v>48</v>
      </c>
      <c r="G529" s="12" t="s">
        <v>2835</v>
      </c>
      <c r="H529" s="12" t="s">
        <v>2836</v>
      </c>
      <c r="I529" s="11" t="s">
        <v>37</v>
      </c>
      <c r="J529" s="8"/>
      <c r="K529" s="8" t="s">
        <v>79</v>
      </c>
      <c r="L529" s="9"/>
      <c r="M529" s="9"/>
      <c r="N529" s="8"/>
      <c r="O529" s="10"/>
    </row>
    <row r="530" spans="1:15" ht="26.4" x14ac:dyDescent="0.3">
      <c r="A530" s="6" t="s">
        <v>2837</v>
      </c>
      <c r="B530" s="7" t="s">
        <v>2751</v>
      </c>
      <c r="C530" s="7" t="s">
        <v>2799</v>
      </c>
      <c r="D530" s="7" t="s">
        <v>2838</v>
      </c>
      <c r="E530" s="7" t="s">
        <v>2839</v>
      </c>
      <c r="F530" s="7" t="s">
        <v>48</v>
      </c>
      <c r="G530" s="7" t="s">
        <v>77</v>
      </c>
      <c r="H530" s="7" t="s">
        <v>2840</v>
      </c>
      <c r="I530" s="6" t="s">
        <v>37</v>
      </c>
      <c r="J530" s="8"/>
      <c r="K530" s="8" t="s">
        <v>79</v>
      </c>
      <c r="L530" s="9"/>
      <c r="M530" s="9"/>
      <c r="N530" s="8"/>
      <c r="O530" s="10"/>
    </row>
    <row r="531" spans="1:15" ht="39.6" x14ac:dyDescent="0.3">
      <c r="A531" s="11" t="s">
        <v>2841</v>
      </c>
      <c r="B531" s="12" t="s">
        <v>2751</v>
      </c>
      <c r="C531" s="12" t="s">
        <v>2842</v>
      </c>
      <c r="D531" s="12" t="s">
        <v>2843</v>
      </c>
      <c r="E531" s="12" t="s">
        <v>2844</v>
      </c>
      <c r="F531" s="12" t="s">
        <v>48</v>
      </c>
      <c r="G531" s="12" t="s">
        <v>2845</v>
      </c>
      <c r="H531" s="12" t="s">
        <v>2846</v>
      </c>
      <c r="I531" s="11" t="s">
        <v>37</v>
      </c>
      <c r="J531" s="8"/>
      <c r="K531" s="8" t="s">
        <v>79</v>
      </c>
      <c r="L531" s="9"/>
      <c r="M531" s="9"/>
      <c r="N531" s="8"/>
      <c r="O531" s="10"/>
    </row>
    <row r="532" spans="1:15" ht="52.8" x14ac:dyDescent="0.3">
      <c r="A532" s="6" t="s">
        <v>2847</v>
      </c>
      <c r="B532" s="7" t="s">
        <v>2751</v>
      </c>
      <c r="C532" s="7" t="s">
        <v>2842</v>
      </c>
      <c r="D532" s="7" t="s">
        <v>2848</v>
      </c>
      <c r="E532" s="7" t="s">
        <v>2849</v>
      </c>
      <c r="F532" s="7" t="s">
        <v>48</v>
      </c>
      <c r="G532" s="7" t="s">
        <v>2850</v>
      </c>
      <c r="H532" s="7" t="s">
        <v>2851</v>
      </c>
      <c r="I532" s="6" t="s">
        <v>37</v>
      </c>
      <c r="J532" s="8"/>
      <c r="K532" s="8" t="s">
        <v>79</v>
      </c>
      <c r="L532" s="9"/>
      <c r="M532" s="9"/>
      <c r="N532" s="8"/>
      <c r="O532" s="10"/>
    </row>
    <row r="533" spans="1:15" ht="26.4" x14ac:dyDescent="0.3">
      <c r="A533" s="11" t="s">
        <v>2852</v>
      </c>
      <c r="B533" s="12" t="s">
        <v>2751</v>
      </c>
      <c r="C533" s="12" t="s">
        <v>2842</v>
      </c>
      <c r="D533" s="12" t="s">
        <v>2853</v>
      </c>
      <c r="E533" s="12" t="s">
        <v>2854</v>
      </c>
      <c r="F533" s="12" t="s">
        <v>48</v>
      </c>
      <c r="G533" s="12" t="s">
        <v>2855</v>
      </c>
      <c r="H533" s="12" t="s">
        <v>2856</v>
      </c>
      <c r="I533" s="11" t="s">
        <v>37</v>
      </c>
      <c r="J533" s="8"/>
      <c r="K533" s="8" t="s">
        <v>79</v>
      </c>
      <c r="L533" s="9"/>
      <c r="M533" s="9"/>
      <c r="N533" s="8"/>
      <c r="O533" s="10"/>
    </row>
    <row r="534" spans="1:15" ht="26.4" x14ac:dyDescent="0.3">
      <c r="A534" s="6" t="s">
        <v>2857</v>
      </c>
      <c r="B534" s="7" t="s">
        <v>2751</v>
      </c>
      <c r="C534" s="7" t="s">
        <v>2842</v>
      </c>
      <c r="D534" s="7" t="s">
        <v>2858</v>
      </c>
      <c r="E534" s="7" t="s">
        <v>2859</v>
      </c>
      <c r="F534" s="7" t="s">
        <v>48</v>
      </c>
      <c r="G534" s="7" t="s">
        <v>2860</v>
      </c>
      <c r="H534" s="7" t="s">
        <v>2861</v>
      </c>
      <c r="I534" s="6" t="s">
        <v>37</v>
      </c>
      <c r="J534" s="8"/>
      <c r="K534" s="8" t="s">
        <v>79</v>
      </c>
      <c r="L534" s="9"/>
      <c r="M534" s="9"/>
      <c r="N534" s="8"/>
      <c r="O534" s="10"/>
    </row>
    <row r="535" spans="1:15" ht="26.4" x14ac:dyDescent="0.3">
      <c r="A535" s="11" t="s">
        <v>2862</v>
      </c>
      <c r="B535" s="12" t="s">
        <v>2751</v>
      </c>
      <c r="C535" s="12" t="s">
        <v>2842</v>
      </c>
      <c r="D535" s="12" t="s">
        <v>2863</v>
      </c>
      <c r="E535" s="12" t="s">
        <v>2864</v>
      </c>
      <c r="F535" s="12" t="s">
        <v>48</v>
      </c>
      <c r="G535" s="12" t="s">
        <v>2865</v>
      </c>
      <c r="H535" s="12" t="s">
        <v>2866</v>
      </c>
      <c r="I535" s="11" t="s">
        <v>37</v>
      </c>
      <c r="J535" s="8"/>
      <c r="K535" s="8" t="s">
        <v>79</v>
      </c>
      <c r="L535" s="9"/>
      <c r="M535" s="9"/>
      <c r="N535" s="8"/>
      <c r="O535" s="10"/>
    </row>
    <row r="536" spans="1:15" ht="26.4" x14ac:dyDescent="0.3">
      <c r="A536" s="6" t="s">
        <v>2867</v>
      </c>
      <c r="B536" s="7" t="s">
        <v>2751</v>
      </c>
      <c r="C536" s="7" t="s">
        <v>2842</v>
      </c>
      <c r="D536" s="7" t="s">
        <v>2868</v>
      </c>
      <c r="E536" s="7" t="s">
        <v>2869</v>
      </c>
      <c r="F536" s="7" t="s">
        <v>48</v>
      </c>
      <c r="G536" s="7" t="s">
        <v>2870</v>
      </c>
      <c r="H536" s="7" t="s">
        <v>2871</v>
      </c>
      <c r="I536" s="6" t="s">
        <v>37</v>
      </c>
      <c r="J536" s="8"/>
      <c r="K536" s="8" t="s">
        <v>79</v>
      </c>
      <c r="L536" s="9"/>
      <c r="M536" s="9"/>
      <c r="N536" s="8"/>
      <c r="O536" s="10"/>
    </row>
    <row r="537" spans="1:15" ht="26.4" x14ac:dyDescent="0.3">
      <c r="A537" s="11" t="s">
        <v>2872</v>
      </c>
      <c r="B537" s="12" t="s">
        <v>2751</v>
      </c>
      <c r="C537" s="12" t="s">
        <v>2873</v>
      </c>
      <c r="D537" s="12" t="s">
        <v>2874</v>
      </c>
      <c r="E537" s="12" t="s">
        <v>2875</v>
      </c>
      <c r="F537" s="12" t="s">
        <v>48</v>
      </c>
      <c r="G537" s="12" t="s">
        <v>2876</v>
      </c>
      <c r="H537" s="12" t="s">
        <v>2877</v>
      </c>
      <c r="I537" s="11" t="s">
        <v>37</v>
      </c>
      <c r="J537" s="8"/>
      <c r="K537" s="8" t="s">
        <v>79</v>
      </c>
      <c r="L537" s="9"/>
      <c r="M537" s="9"/>
      <c r="N537" s="8"/>
      <c r="O537" s="10"/>
    </row>
    <row r="538" spans="1:15" ht="39.6" x14ac:dyDescent="0.3">
      <c r="A538" s="6" t="s">
        <v>2878</v>
      </c>
      <c r="B538" s="7" t="s">
        <v>2751</v>
      </c>
      <c r="C538" s="7" t="s">
        <v>2873</v>
      </c>
      <c r="D538" s="7" t="s">
        <v>2879</v>
      </c>
      <c r="E538" s="7" t="s">
        <v>2880</v>
      </c>
      <c r="F538" s="7" t="s">
        <v>48</v>
      </c>
      <c r="G538" s="7" t="s">
        <v>2881</v>
      </c>
      <c r="H538" s="7" t="s">
        <v>2882</v>
      </c>
      <c r="I538" s="6" t="s">
        <v>37</v>
      </c>
      <c r="J538" s="8"/>
      <c r="K538" s="8" t="s">
        <v>79</v>
      </c>
      <c r="L538" s="9"/>
      <c r="M538" s="9"/>
      <c r="N538" s="8"/>
      <c r="O538" s="10"/>
    </row>
    <row r="539" spans="1:15" ht="52.8" x14ac:dyDescent="0.3">
      <c r="A539" s="11" t="s">
        <v>2883</v>
      </c>
      <c r="B539" s="12" t="s">
        <v>2751</v>
      </c>
      <c r="C539" s="12" t="s">
        <v>2884</v>
      </c>
      <c r="D539" s="12" t="s">
        <v>2885</v>
      </c>
      <c r="E539" s="12" t="s">
        <v>2886</v>
      </c>
      <c r="F539" s="12" t="s">
        <v>48</v>
      </c>
      <c r="G539" s="12" t="s">
        <v>2887</v>
      </c>
      <c r="H539" s="12" t="s">
        <v>2888</v>
      </c>
      <c r="I539" s="11" t="s">
        <v>37</v>
      </c>
      <c r="J539" s="8"/>
      <c r="K539" s="8" t="s">
        <v>79</v>
      </c>
      <c r="L539" s="9"/>
      <c r="M539" s="9"/>
      <c r="N539" s="8"/>
      <c r="O539" s="10"/>
    </row>
    <row r="540" spans="1:15" ht="52.8" x14ac:dyDescent="0.3">
      <c r="A540" s="6" t="s">
        <v>2889</v>
      </c>
      <c r="B540" s="7" t="s">
        <v>2751</v>
      </c>
      <c r="C540" s="7" t="s">
        <v>2884</v>
      </c>
      <c r="D540" s="7" t="s">
        <v>2890</v>
      </c>
      <c r="E540" s="7" t="s">
        <v>2891</v>
      </c>
      <c r="F540" s="7" t="s">
        <v>48</v>
      </c>
      <c r="G540" s="7" t="s">
        <v>2892</v>
      </c>
      <c r="H540" s="7" t="s">
        <v>2893</v>
      </c>
      <c r="I540" s="6" t="s">
        <v>37</v>
      </c>
      <c r="J540" s="8"/>
      <c r="K540" s="8" t="s">
        <v>79</v>
      </c>
      <c r="L540" s="9"/>
      <c r="M540" s="9"/>
      <c r="N540" s="8"/>
      <c r="O540" s="10"/>
    </row>
    <row r="541" spans="1:15" ht="26.4" x14ac:dyDescent="0.3">
      <c r="A541" s="11" t="s">
        <v>2894</v>
      </c>
      <c r="B541" s="12" t="s">
        <v>2751</v>
      </c>
      <c r="C541" s="12" t="s">
        <v>2884</v>
      </c>
      <c r="D541" s="12" t="s">
        <v>2895</v>
      </c>
      <c r="E541" s="12" t="s">
        <v>2896</v>
      </c>
      <c r="F541" s="12" t="s">
        <v>48</v>
      </c>
      <c r="G541" s="12" t="s">
        <v>2897</v>
      </c>
      <c r="H541" s="12" t="s">
        <v>2898</v>
      </c>
      <c r="I541" s="11" t="s">
        <v>37</v>
      </c>
      <c r="J541" s="8"/>
      <c r="K541" s="8" t="s">
        <v>79</v>
      </c>
      <c r="L541" s="9"/>
      <c r="M541" s="9"/>
      <c r="N541" s="8"/>
      <c r="O541" s="10"/>
    </row>
    <row r="542" spans="1:15" ht="39.6" x14ac:dyDescent="0.3">
      <c r="A542" s="6" t="s">
        <v>2899</v>
      </c>
      <c r="B542" s="7" t="s">
        <v>2751</v>
      </c>
      <c r="C542" s="7" t="s">
        <v>2884</v>
      </c>
      <c r="D542" s="7" t="s">
        <v>2900</v>
      </c>
      <c r="E542" s="7" t="s">
        <v>2901</v>
      </c>
      <c r="F542" s="7" t="s">
        <v>48</v>
      </c>
      <c r="G542" s="7" t="s">
        <v>2902</v>
      </c>
      <c r="H542" s="7" t="s">
        <v>2903</v>
      </c>
      <c r="I542" s="6" t="s">
        <v>37</v>
      </c>
      <c r="J542" s="8"/>
      <c r="K542" s="8" t="s">
        <v>79</v>
      </c>
      <c r="L542" s="9"/>
      <c r="M542" s="9"/>
      <c r="N542" s="8"/>
      <c r="O542" s="10"/>
    </row>
    <row r="543" spans="1:15" ht="26.4" x14ac:dyDescent="0.3">
      <c r="A543" s="11" t="s">
        <v>2904</v>
      </c>
      <c r="B543" s="12" t="s">
        <v>2751</v>
      </c>
      <c r="C543" s="12" t="s">
        <v>2884</v>
      </c>
      <c r="D543" s="12" t="s">
        <v>2905</v>
      </c>
      <c r="E543" s="12" t="s">
        <v>2906</v>
      </c>
      <c r="F543" s="12" t="s">
        <v>48</v>
      </c>
      <c r="G543" s="12" t="s">
        <v>2907</v>
      </c>
      <c r="H543" s="12" t="s">
        <v>2908</v>
      </c>
      <c r="I543" s="11" t="s">
        <v>37</v>
      </c>
      <c r="J543" s="8"/>
      <c r="K543" s="8" t="s">
        <v>79</v>
      </c>
      <c r="L543" s="9"/>
      <c r="M543" s="9"/>
      <c r="N543" s="8"/>
      <c r="O543" s="10"/>
    </row>
    <row r="544" spans="1:15" ht="26.4" x14ac:dyDescent="0.3">
      <c r="A544" s="6" t="s">
        <v>2909</v>
      </c>
      <c r="B544" s="7" t="s">
        <v>2751</v>
      </c>
      <c r="C544" s="7" t="s">
        <v>1755</v>
      </c>
      <c r="D544" s="7" t="s">
        <v>1785</v>
      </c>
      <c r="E544" s="7" t="s">
        <v>2910</v>
      </c>
      <c r="F544" s="7" t="s">
        <v>48</v>
      </c>
      <c r="G544" s="7" t="s">
        <v>2892</v>
      </c>
      <c r="H544" s="7" t="s">
        <v>2911</v>
      </c>
      <c r="I544" s="6" t="s">
        <v>37</v>
      </c>
      <c r="J544" s="8"/>
      <c r="K544" s="8" t="s">
        <v>79</v>
      </c>
      <c r="L544" s="9"/>
      <c r="M544" s="9"/>
      <c r="N544" s="8"/>
      <c r="O544" s="10"/>
    </row>
    <row r="545" spans="1:15" ht="52.8" x14ac:dyDescent="0.3">
      <c r="A545" s="11" t="s">
        <v>2912</v>
      </c>
      <c r="B545" s="12" t="s">
        <v>2751</v>
      </c>
      <c r="C545" s="12" t="s">
        <v>2913</v>
      </c>
      <c r="D545" s="12" t="s">
        <v>2914</v>
      </c>
      <c r="E545" s="12" t="s">
        <v>2915</v>
      </c>
      <c r="F545" s="12" t="s">
        <v>48</v>
      </c>
      <c r="G545" s="12" t="s">
        <v>2916</v>
      </c>
      <c r="H545" s="12" t="s">
        <v>2917</v>
      </c>
      <c r="I545" s="11" t="s">
        <v>37</v>
      </c>
      <c r="J545" s="8"/>
      <c r="K545" s="8" t="s">
        <v>79</v>
      </c>
      <c r="L545" s="9"/>
      <c r="M545" s="9"/>
      <c r="N545" s="8"/>
      <c r="O545" s="10"/>
    </row>
    <row r="546" spans="1:15" ht="26.4" x14ac:dyDescent="0.3">
      <c r="A546" s="6" t="s">
        <v>2918</v>
      </c>
      <c r="B546" s="7" t="s">
        <v>2751</v>
      </c>
      <c r="C546" s="7" t="s">
        <v>2919</v>
      </c>
      <c r="D546" s="7" t="s">
        <v>2920</v>
      </c>
      <c r="E546" s="7" t="s">
        <v>2921</v>
      </c>
      <c r="F546" s="7" t="s">
        <v>48</v>
      </c>
      <c r="G546" s="7" t="s">
        <v>2922</v>
      </c>
      <c r="H546" s="7" t="s">
        <v>2923</v>
      </c>
      <c r="I546" s="6" t="s">
        <v>37</v>
      </c>
      <c r="J546" s="8"/>
      <c r="K546" s="8" t="s">
        <v>79</v>
      </c>
      <c r="L546" s="9"/>
      <c r="M546" s="9"/>
      <c r="N546" s="8"/>
      <c r="O546" s="10"/>
    </row>
    <row r="547" spans="1:15" ht="39.6" x14ac:dyDescent="0.3">
      <c r="A547" s="11" t="s">
        <v>2924</v>
      </c>
      <c r="B547" s="12" t="s">
        <v>2751</v>
      </c>
      <c r="C547" s="12" t="s">
        <v>2919</v>
      </c>
      <c r="D547" s="12" t="s">
        <v>2925</v>
      </c>
      <c r="E547" s="12" t="s">
        <v>2926</v>
      </c>
      <c r="F547" s="12" t="s">
        <v>48</v>
      </c>
      <c r="G547" s="12" t="s">
        <v>2927</v>
      </c>
      <c r="H547" s="12" t="s">
        <v>2928</v>
      </c>
      <c r="I547" s="11" t="s">
        <v>37</v>
      </c>
      <c r="J547" s="8"/>
      <c r="K547" s="8" t="s">
        <v>79</v>
      </c>
      <c r="L547" s="9"/>
      <c r="M547" s="9"/>
      <c r="N547" s="8"/>
      <c r="O547" s="10"/>
    </row>
    <row r="548" spans="1:15" ht="26.4" x14ac:dyDescent="0.3">
      <c r="A548" s="6" t="s">
        <v>2929</v>
      </c>
      <c r="B548" s="7" t="s">
        <v>2751</v>
      </c>
      <c r="C548" s="7" t="s">
        <v>2919</v>
      </c>
      <c r="D548" s="7" t="s">
        <v>2930</v>
      </c>
      <c r="E548" s="7" t="s">
        <v>2931</v>
      </c>
      <c r="F548" s="7" t="s">
        <v>48</v>
      </c>
      <c r="G548" s="7" t="s">
        <v>2932</v>
      </c>
      <c r="H548" s="7" t="s">
        <v>2933</v>
      </c>
      <c r="I548" s="6" t="s">
        <v>37</v>
      </c>
      <c r="J548" s="8"/>
      <c r="K548" s="8" t="s">
        <v>79</v>
      </c>
      <c r="L548" s="9"/>
      <c r="M548" s="9"/>
      <c r="N548" s="8"/>
      <c r="O548" s="10"/>
    </row>
    <row r="549" spans="1:15" ht="39.6" x14ac:dyDescent="0.3">
      <c r="A549" s="11" t="s">
        <v>2934</v>
      </c>
      <c r="B549" s="12" t="s">
        <v>2751</v>
      </c>
      <c r="C549" s="12" t="s">
        <v>2919</v>
      </c>
      <c r="D549" s="12" t="s">
        <v>2935</v>
      </c>
      <c r="E549" s="12" t="s">
        <v>2936</v>
      </c>
      <c r="F549" s="12" t="s">
        <v>48</v>
      </c>
      <c r="G549" s="12" t="s">
        <v>2937</v>
      </c>
      <c r="H549" s="12" t="s">
        <v>2938</v>
      </c>
      <c r="I549" s="11" t="s">
        <v>37</v>
      </c>
      <c r="J549" s="8"/>
      <c r="K549" s="8" t="s">
        <v>79</v>
      </c>
      <c r="L549" s="9"/>
      <c r="M549" s="9"/>
      <c r="N549" s="8"/>
      <c r="O549" s="10"/>
    </row>
    <row r="550" spans="1:15" ht="26.4" x14ac:dyDescent="0.3">
      <c r="A550" s="6" t="s">
        <v>2939</v>
      </c>
      <c r="B550" s="7" t="s">
        <v>2751</v>
      </c>
      <c r="C550" s="7" t="s">
        <v>2940</v>
      </c>
      <c r="D550" s="7" t="s">
        <v>2941</v>
      </c>
      <c r="E550" s="7" t="s">
        <v>2942</v>
      </c>
      <c r="F550" s="7" t="s">
        <v>48</v>
      </c>
      <c r="G550" s="7" t="s">
        <v>2943</v>
      </c>
      <c r="H550" s="7" t="s">
        <v>2944</v>
      </c>
      <c r="I550" s="6" t="s">
        <v>37</v>
      </c>
      <c r="J550" s="8"/>
      <c r="K550" s="8" t="s">
        <v>79</v>
      </c>
      <c r="L550" s="9"/>
      <c r="M550" s="9"/>
      <c r="N550" s="8"/>
      <c r="O550" s="10"/>
    </row>
    <row r="551" spans="1:15" ht="26.4" x14ac:dyDescent="0.3">
      <c r="A551" s="11" t="s">
        <v>2945</v>
      </c>
      <c r="B551" s="12" t="s">
        <v>2751</v>
      </c>
      <c r="C551" s="12" t="s">
        <v>2940</v>
      </c>
      <c r="D551" s="12" t="s">
        <v>2946</v>
      </c>
      <c r="E551" s="12" t="s">
        <v>2947</v>
      </c>
      <c r="F551" s="12" t="s">
        <v>48</v>
      </c>
      <c r="G551" s="12" t="s">
        <v>2948</v>
      </c>
      <c r="H551" s="12" t="s">
        <v>2949</v>
      </c>
      <c r="I551" s="11" t="s">
        <v>37</v>
      </c>
      <c r="J551" s="8"/>
      <c r="K551" s="8" t="s">
        <v>79</v>
      </c>
      <c r="L551" s="9"/>
      <c r="M551" s="9"/>
      <c r="N551" s="8"/>
      <c r="O551" s="10"/>
    </row>
    <row r="552" spans="1:15" ht="26.4" x14ac:dyDescent="0.3">
      <c r="A552" s="6" t="s">
        <v>2950</v>
      </c>
      <c r="B552" s="7" t="s">
        <v>2751</v>
      </c>
      <c r="C552" s="7" t="s">
        <v>2940</v>
      </c>
      <c r="D552" s="7" t="s">
        <v>2951</v>
      </c>
      <c r="E552" s="7" t="s">
        <v>2952</v>
      </c>
      <c r="F552" s="7" t="s">
        <v>48</v>
      </c>
      <c r="G552" s="7" t="s">
        <v>2953</v>
      </c>
      <c r="H552" s="7" t="s">
        <v>2954</v>
      </c>
      <c r="I552" s="6" t="s">
        <v>37</v>
      </c>
      <c r="J552" s="8"/>
      <c r="K552" s="8" t="s">
        <v>79</v>
      </c>
      <c r="L552" s="9"/>
      <c r="M552" s="9"/>
      <c r="N552" s="8"/>
      <c r="O552" s="10"/>
    </row>
    <row r="553" spans="1:15" ht="39.6" x14ac:dyDescent="0.3">
      <c r="A553" s="11" t="s">
        <v>2955</v>
      </c>
      <c r="B553" s="12" t="s">
        <v>2751</v>
      </c>
      <c r="C553" s="12" t="s">
        <v>2940</v>
      </c>
      <c r="D553" s="12" t="s">
        <v>2956</v>
      </c>
      <c r="E553" s="12" t="s">
        <v>2957</v>
      </c>
      <c r="F553" s="12" t="s">
        <v>48</v>
      </c>
      <c r="G553" s="12" t="s">
        <v>2958</v>
      </c>
      <c r="H553" s="12" t="s">
        <v>2959</v>
      </c>
      <c r="I553" s="11" t="s">
        <v>37</v>
      </c>
      <c r="J553" s="8"/>
      <c r="K553" s="8" t="s">
        <v>79</v>
      </c>
      <c r="L553" s="9"/>
      <c r="M553" s="9"/>
      <c r="N553" s="8"/>
      <c r="O553" s="10"/>
    </row>
    <row r="554" spans="1:15" ht="26.4" x14ac:dyDescent="0.3">
      <c r="A554" s="6" t="s">
        <v>2960</v>
      </c>
      <c r="B554" s="7" t="s">
        <v>2751</v>
      </c>
      <c r="C554" s="7" t="s">
        <v>2961</v>
      </c>
      <c r="D554" s="7" t="s">
        <v>2962</v>
      </c>
      <c r="E554" s="7" t="s">
        <v>2963</v>
      </c>
      <c r="F554" s="7" t="s">
        <v>48</v>
      </c>
      <c r="G554" s="7" t="s">
        <v>2964</v>
      </c>
      <c r="H554" s="7" t="s">
        <v>2965</v>
      </c>
      <c r="I554" s="6" t="s">
        <v>37</v>
      </c>
      <c r="J554" s="8"/>
      <c r="K554" s="8" t="s">
        <v>79</v>
      </c>
      <c r="L554" s="9"/>
      <c r="M554" s="9"/>
      <c r="N554" s="8"/>
      <c r="O554" s="10"/>
    </row>
    <row r="555" spans="1:15" ht="39.6" x14ac:dyDescent="0.3">
      <c r="A555" s="11" t="s">
        <v>2966</v>
      </c>
      <c r="B555" s="12" t="s">
        <v>2751</v>
      </c>
      <c r="C555" s="12" t="s">
        <v>2967</v>
      </c>
      <c r="D555" s="12" t="s">
        <v>2968</v>
      </c>
      <c r="E555" s="12" t="s">
        <v>2969</v>
      </c>
      <c r="F555" s="12" t="s">
        <v>48</v>
      </c>
      <c r="G555" s="12" t="s">
        <v>2970</v>
      </c>
      <c r="H555" s="12" t="s">
        <v>2971</v>
      </c>
      <c r="I555" s="11" t="s">
        <v>37</v>
      </c>
      <c r="J555" s="8"/>
      <c r="K555" s="8" t="s">
        <v>79</v>
      </c>
      <c r="L555" s="9"/>
      <c r="M555" s="9"/>
      <c r="N555" s="8"/>
      <c r="O555" s="10"/>
    </row>
    <row r="556" spans="1:15" ht="52.8" x14ac:dyDescent="0.3">
      <c r="A556" s="6" t="s">
        <v>2972</v>
      </c>
      <c r="B556" s="7" t="s">
        <v>2751</v>
      </c>
      <c r="C556" s="7" t="s">
        <v>2967</v>
      </c>
      <c r="D556" s="7" t="s">
        <v>2973</v>
      </c>
      <c r="E556" s="7" t="s">
        <v>2974</v>
      </c>
      <c r="F556" s="7" t="s">
        <v>48</v>
      </c>
      <c r="G556" s="7" t="s">
        <v>2975</v>
      </c>
      <c r="H556" s="7" t="s">
        <v>2976</v>
      </c>
      <c r="I556" s="6" t="s">
        <v>37</v>
      </c>
      <c r="J556" s="8"/>
      <c r="K556" s="8" t="s">
        <v>79</v>
      </c>
      <c r="L556" s="9"/>
      <c r="M556" s="9"/>
      <c r="N556" s="8"/>
      <c r="O556" s="10"/>
    </row>
    <row r="557" spans="1:15" ht="26.4" x14ac:dyDescent="0.3">
      <c r="A557" s="11" t="s">
        <v>2977</v>
      </c>
      <c r="B557" s="12" t="s">
        <v>2751</v>
      </c>
      <c r="C557" s="12" t="s">
        <v>2967</v>
      </c>
      <c r="D557" s="12" t="s">
        <v>2978</v>
      </c>
      <c r="E557" s="12" t="s">
        <v>2979</v>
      </c>
      <c r="F557" s="12" t="s">
        <v>48</v>
      </c>
      <c r="G557" s="12" t="s">
        <v>2980</v>
      </c>
      <c r="H557" s="12" t="s">
        <v>2981</v>
      </c>
      <c r="I557" s="11" t="s">
        <v>37</v>
      </c>
      <c r="J557" s="8"/>
      <c r="K557" s="8" t="s">
        <v>79</v>
      </c>
      <c r="L557" s="9"/>
      <c r="M557" s="9"/>
      <c r="N557" s="8"/>
      <c r="O557" s="10"/>
    </row>
    <row r="558" spans="1:15" ht="26.4" x14ac:dyDescent="0.3">
      <c r="A558" s="6" t="s">
        <v>2982</v>
      </c>
      <c r="B558" s="7" t="s">
        <v>2751</v>
      </c>
      <c r="C558" s="7" t="s">
        <v>2967</v>
      </c>
      <c r="D558" s="7" t="s">
        <v>2983</v>
      </c>
      <c r="E558" s="7" t="s">
        <v>2984</v>
      </c>
      <c r="F558" s="7" t="s">
        <v>48</v>
      </c>
      <c r="G558" s="7" t="s">
        <v>2985</v>
      </c>
      <c r="H558" s="7" t="s">
        <v>2986</v>
      </c>
      <c r="I558" s="6" t="s">
        <v>37</v>
      </c>
      <c r="J558" s="8"/>
      <c r="K558" s="8" t="s">
        <v>79</v>
      </c>
      <c r="L558" s="9"/>
      <c r="M558" s="9"/>
      <c r="N558" s="8"/>
      <c r="O558" s="10"/>
    </row>
    <row r="559" spans="1:15" ht="26.4" x14ac:dyDescent="0.3">
      <c r="A559" s="11" t="s">
        <v>2987</v>
      </c>
      <c r="B559" s="12" t="s">
        <v>2751</v>
      </c>
      <c r="C559" s="12" t="s">
        <v>2988</v>
      </c>
      <c r="D559" s="12" t="s">
        <v>2989</v>
      </c>
      <c r="E559" s="12" t="s">
        <v>2990</v>
      </c>
      <c r="F559" s="12" t="s">
        <v>48</v>
      </c>
      <c r="G559" s="12" t="s">
        <v>2991</v>
      </c>
      <c r="H559" s="12" t="s">
        <v>2992</v>
      </c>
      <c r="I559" s="11" t="s">
        <v>37</v>
      </c>
      <c r="J559" s="8"/>
      <c r="K559" s="8" t="s">
        <v>79</v>
      </c>
      <c r="L559" s="9"/>
      <c r="M559" s="9"/>
      <c r="N559" s="8"/>
      <c r="O559" s="10"/>
    </row>
    <row r="560" spans="1:15" ht="26.4" x14ac:dyDescent="0.3">
      <c r="A560" s="6" t="s">
        <v>2993</v>
      </c>
      <c r="B560" s="7" t="s">
        <v>2751</v>
      </c>
      <c r="C560" s="7" t="s">
        <v>2994</v>
      </c>
      <c r="D560" s="7" t="s">
        <v>2995</v>
      </c>
      <c r="E560" s="7" t="s">
        <v>2996</v>
      </c>
      <c r="F560" s="7" t="s">
        <v>48</v>
      </c>
      <c r="G560" s="7" t="s">
        <v>2997</v>
      </c>
      <c r="H560" s="7" t="s">
        <v>2998</v>
      </c>
      <c r="I560" s="6" t="s">
        <v>37</v>
      </c>
      <c r="J560" s="8"/>
      <c r="K560" s="8" t="s">
        <v>79</v>
      </c>
      <c r="L560" s="9"/>
      <c r="M560" s="9"/>
      <c r="N560" s="8"/>
      <c r="O560" s="10"/>
    </row>
    <row r="561" spans="1:15" ht="26.4" x14ac:dyDescent="0.3">
      <c r="A561" s="11" t="s">
        <v>2999</v>
      </c>
      <c r="B561" s="12" t="s">
        <v>2751</v>
      </c>
      <c r="C561" s="12" t="s">
        <v>3000</v>
      </c>
      <c r="D561" s="12" t="s">
        <v>3001</v>
      </c>
      <c r="E561" s="12" t="s">
        <v>3002</v>
      </c>
      <c r="F561" s="12" t="s">
        <v>48</v>
      </c>
      <c r="G561" s="12" t="s">
        <v>3003</v>
      </c>
      <c r="H561" s="12" t="s">
        <v>3004</v>
      </c>
      <c r="I561" s="11" t="s">
        <v>37</v>
      </c>
      <c r="J561" s="8"/>
      <c r="K561" s="8" t="s">
        <v>79</v>
      </c>
      <c r="L561" s="9"/>
      <c r="M561" s="9"/>
      <c r="N561" s="8"/>
      <c r="O561" s="10"/>
    </row>
    <row r="562" spans="1:15" ht="26.4" x14ac:dyDescent="0.3">
      <c r="A562" s="6" t="s">
        <v>3005</v>
      </c>
      <c r="B562" s="7" t="s">
        <v>2751</v>
      </c>
      <c r="C562" s="7" t="s">
        <v>3000</v>
      </c>
      <c r="D562" s="7" t="s">
        <v>3006</v>
      </c>
      <c r="E562" s="7" t="s">
        <v>3007</v>
      </c>
      <c r="F562" s="7" t="s">
        <v>48</v>
      </c>
      <c r="G562" s="7" t="s">
        <v>3008</v>
      </c>
      <c r="H562" s="7" t="s">
        <v>3009</v>
      </c>
      <c r="I562" s="6" t="s">
        <v>37</v>
      </c>
      <c r="J562" s="8"/>
      <c r="K562" s="8" t="s">
        <v>79</v>
      </c>
      <c r="L562" s="9"/>
      <c r="M562" s="9"/>
      <c r="N562" s="8"/>
      <c r="O562" s="10"/>
    </row>
    <row r="563" spans="1:15" ht="66" x14ac:dyDescent="0.3">
      <c r="A563" s="11" t="s">
        <v>3010</v>
      </c>
      <c r="B563" s="12" t="s">
        <v>2751</v>
      </c>
      <c r="C563" s="12" t="s">
        <v>3011</v>
      </c>
      <c r="D563" s="12" t="s">
        <v>3012</v>
      </c>
      <c r="E563" s="12" t="s">
        <v>3013</v>
      </c>
      <c r="F563" s="12" t="s">
        <v>48</v>
      </c>
      <c r="G563" s="12" t="s">
        <v>3014</v>
      </c>
      <c r="H563" s="12" t="s">
        <v>3015</v>
      </c>
      <c r="I563" s="11" t="s">
        <v>37</v>
      </c>
      <c r="J563" s="8"/>
      <c r="K563" s="8" t="s">
        <v>79</v>
      </c>
      <c r="L563" s="9"/>
      <c r="M563" s="9"/>
      <c r="N563" s="8"/>
      <c r="O563" s="10"/>
    </row>
    <row r="564" spans="1:15" ht="52.8" x14ac:dyDescent="0.3">
      <c r="A564" s="6" t="s">
        <v>3016</v>
      </c>
      <c r="B564" s="7" t="s">
        <v>2751</v>
      </c>
      <c r="C564" s="7" t="s">
        <v>3017</v>
      </c>
      <c r="D564" s="7" t="s">
        <v>704</v>
      </c>
      <c r="E564" s="7" t="s">
        <v>3018</v>
      </c>
      <c r="F564" s="7" t="s">
        <v>48</v>
      </c>
      <c r="G564" s="7" t="s">
        <v>3019</v>
      </c>
      <c r="H564" s="7" t="s">
        <v>3020</v>
      </c>
      <c r="I564" s="6" t="s">
        <v>37</v>
      </c>
      <c r="J564" s="8"/>
      <c r="K564" s="8" t="s">
        <v>79</v>
      </c>
      <c r="L564" s="9"/>
      <c r="M564" s="9"/>
      <c r="N564" s="8"/>
      <c r="O564" s="10"/>
    </row>
    <row r="565" spans="1:15" ht="26.4" x14ac:dyDescent="0.3">
      <c r="A565" s="11" t="s">
        <v>3021</v>
      </c>
      <c r="B565" s="12" t="s">
        <v>2751</v>
      </c>
      <c r="C565" s="12" t="s">
        <v>3017</v>
      </c>
      <c r="D565" s="12" t="s">
        <v>3022</v>
      </c>
      <c r="E565" s="12" t="s">
        <v>3023</v>
      </c>
      <c r="F565" s="12" t="s">
        <v>48</v>
      </c>
      <c r="G565" s="12" t="s">
        <v>3024</v>
      </c>
      <c r="H565" s="12" t="s">
        <v>3025</v>
      </c>
      <c r="I565" s="11" t="s">
        <v>37</v>
      </c>
      <c r="J565" s="8"/>
      <c r="K565" s="8" t="s">
        <v>79</v>
      </c>
      <c r="L565" s="9"/>
      <c r="M565" s="9"/>
      <c r="N565" s="8"/>
      <c r="O565" s="10"/>
    </row>
    <row r="566" spans="1:15" ht="26.4" x14ac:dyDescent="0.3">
      <c r="A566" s="6" t="s">
        <v>3026</v>
      </c>
      <c r="B566" s="7" t="s">
        <v>2751</v>
      </c>
      <c r="C566" s="7" t="s">
        <v>3017</v>
      </c>
      <c r="D566" s="7" t="s">
        <v>3027</v>
      </c>
      <c r="E566" s="7" t="s">
        <v>3028</v>
      </c>
      <c r="F566" s="7" t="s">
        <v>48</v>
      </c>
      <c r="G566" s="7" t="s">
        <v>3029</v>
      </c>
      <c r="H566" s="7" t="s">
        <v>3030</v>
      </c>
      <c r="I566" s="6" t="s">
        <v>37</v>
      </c>
      <c r="J566" s="8"/>
      <c r="K566" s="8" t="s">
        <v>79</v>
      </c>
      <c r="L566" s="9"/>
      <c r="M566" s="9"/>
      <c r="N566" s="8"/>
      <c r="O566" s="10"/>
    </row>
    <row r="567" spans="1:15" ht="26.4" x14ac:dyDescent="0.3">
      <c r="A567" s="11" t="s">
        <v>3031</v>
      </c>
      <c r="B567" s="12" t="s">
        <v>2751</v>
      </c>
      <c r="C567" s="12" t="s">
        <v>3017</v>
      </c>
      <c r="D567" s="12" t="s">
        <v>3032</v>
      </c>
      <c r="E567" s="12" t="s">
        <v>3033</v>
      </c>
      <c r="F567" s="12" t="s">
        <v>48</v>
      </c>
      <c r="G567" s="12" t="s">
        <v>3034</v>
      </c>
      <c r="H567" s="12" t="s">
        <v>3035</v>
      </c>
      <c r="I567" s="11" t="s">
        <v>37</v>
      </c>
      <c r="J567" s="8"/>
      <c r="K567" s="8" t="s">
        <v>79</v>
      </c>
      <c r="L567" s="9"/>
      <c r="M567" s="9"/>
      <c r="N567" s="8"/>
      <c r="O567" s="10"/>
    </row>
    <row r="568" spans="1:15" ht="26.4" x14ac:dyDescent="0.3">
      <c r="A568" s="6" t="s">
        <v>3036</v>
      </c>
      <c r="B568" s="7" t="s">
        <v>2751</v>
      </c>
      <c r="C568" s="7" t="s">
        <v>3017</v>
      </c>
      <c r="D568" s="7" t="s">
        <v>3037</v>
      </c>
      <c r="E568" s="7" t="s">
        <v>3038</v>
      </c>
      <c r="F568" s="7" t="s">
        <v>48</v>
      </c>
      <c r="G568" s="7" t="s">
        <v>3039</v>
      </c>
      <c r="H568" s="7" t="s">
        <v>3040</v>
      </c>
      <c r="I568" s="6" t="s">
        <v>37</v>
      </c>
      <c r="J568" s="8"/>
      <c r="K568" s="8" t="s">
        <v>79</v>
      </c>
      <c r="L568" s="9"/>
      <c r="M568" s="9"/>
      <c r="N568" s="8"/>
      <c r="O568" s="10"/>
    </row>
    <row r="569" spans="1:15" ht="39.6" x14ac:dyDescent="0.3">
      <c r="A569" s="11" t="s">
        <v>3041</v>
      </c>
      <c r="B569" s="12" t="s">
        <v>2751</v>
      </c>
      <c r="C569" s="12" t="s">
        <v>3042</v>
      </c>
      <c r="D569" s="12" t="s">
        <v>3043</v>
      </c>
      <c r="E569" s="12" t="s">
        <v>3044</v>
      </c>
      <c r="F569" s="12" t="s">
        <v>76</v>
      </c>
      <c r="G569" s="12" t="s">
        <v>3045</v>
      </c>
      <c r="H569" s="12" t="s">
        <v>3046</v>
      </c>
      <c r="I569" s="11" t="s">
        <v>37</v>
      </c>
      <c r="J569" s="8"/>
      <c r="K569" s="8" t="s">
        <v>79</v>
      </c>
      <c r="L569" s="9"/>
      <c r="M569" s="9"/>
      <c r="N569" s="8"/>
      <c r="O569" s="10"/>
    </row>
    <row r="570" spans="1:15" ht="26.4" x14ac:dyDescent="0.3">
      <c r="A570" s="6" t="s">
        <v>3047</v>
      </c>
      <c r="B570" s="7" t="s">
        <v>2751</v>
      </c>
      <c r="C570" s="7" t="s">
        <v>1654</v>
      </c>
      <c r="D570" s="7" t="s">
        <v>3048</v>
      </c>
      <c r="E570" s="7" t="s">
        <v>3049</v>
      </c>
      <c r="F570" s="7" t="s">
        <v>3050</v>
      </c>
      <c r="G570" s="7" t="s">
        <v>3051</v>
      </c>
      <c r="H570" s="7" t="s">
        <v>3052</v>
      </c>
      <c r="I570" s="6" t="s">
        <v>37</v>
      </c>
      <c r="J570" s="8"/>
      <c r="K570" s="8" t="s">
        <v>79</v>
      </c>
      <c r="L570" s="9"/>
      <c r="M570" s="9"/>
      <c r="N570" s="8"/>
      <c r="O570" s="10"/>
    </row>
    <row r="571" spans="1:15" ht="39.6" x14ac:dyDescent="0.3">
      <c r="A571" s="11" t="s">
        <v>3053</v>
      </c>
      <c r="B571" s="12" t="s">
        <v>2751</v>
      </c>
      <c r="C571" s="12" t="s">
        <v>1654</v>
      </c>
      <c r="D571" s="12" t="s">
        <v>3054</v>
      </c>
      <c r="E571" s="12" t="s">
        <v>3055</v>
      </c>
      <c r="F571" s="12" t="s">
        <v>3050</v>
      </c>
      <c r="G571" s="12" t="s">
        <v>1246</v>
      </c>
      <c r="H571" s="12" t="s">
        <v>3056</v>
      </c>
      <c r="I571" s="11" t="s">
        <v>37</v>
      </c>
      <c r="J571" s="8"/>
      <c r="K571" s="8" t="s">
        <v>79</v>
      </c>
      <c r="L571" s="9"/>
      <c r="M571" s="9"/>
      <c r="N571" s="8"/>
      <c r="O571" s="10"/>
    </row>
    <row r="572" spans="1:15" ht="39.6" x14ac:dyDescent="0.3">
      <c r="A572" s="6" t="s">
        <v>3057</v>
      </c>
      <c r="B572" s="7" t="s">
        <v>2751</v>
      </c>
      <c r="C572" s="7" t="s">
        <v>3058</v>
      </c>
      <c r="D572" s="7" t="s">
        <v>3059</v>
      </c>
      <c r="E572" s="7" t="s">
        <v>3060</v>
      </c>
      <c r="F572" s="7" t="s">
        <v>76</v>
      </c>
      <c r="G572" s="7" t="s">
        <v>3061</v>
      </c>
      <c r="H572" s="7" t="s">
        <v>3062</v>
      </c>
      <c r="I572" s="6" t="s">
        <v>37</v>
      </c>
      <c r="J572" s="8"/>
      <c r="K572" s="8" t="s">
        <v>79</v>
      </c>
      <c r="L572" s="9"/>
      <c r="M572" s="9"/>
      <c r="N572" s="8"/>
      <c r="O572" s="10"/>
    </row>
    <row r="573" spans="1:15" ht="39.6" x14ac:dyDescent="0.3">
      <c r="A573" s="11" t="s">
        <v>3063</v>
      </c>
      <c r="B573" s="12" t="s">
        <v>2751</v>
      </c>
      <c r="C573" s="12" t="s">
        <v>3058</v>
      </c>
      <c r="D573" s="12" t="s">
        <v>3064</v>
      </c>
      <c r="E573" s="12" t="s">
        <v>3065</v>
      </c>
      <c r="F573" s="12" t="s">
        <v>2133</v>
      </c>
      <c r="G573" s="12" t="s">
        <v>3066</v>
      </c>
      <c r="H573" s="12" t="s">
        <v>718</v>
      </c>
      <c r="I573" s="11" t="s">
        <v>37</v>
      </c>
      <c r="J573" s="8"/>
      <c r="K573" s="8" t="s">
        <v>79</v>
      </c>
      <c r="L573" s="9"/>
      <c r="M573" s="9"/>
      <c r="N573" s="8"/>
      <c r="O573" s="10"/>
    </row>
    <row r="574" spans="1:15" ht="26.4" x14ac:dyDescent="0.3">
      <c r="A574" s="6" t="s">
        <v>3067</v>
      </c>
      <c r="B574" s="7" t="s">
        <v>2751</v>
      </c>
      <c r="C574" s="7" t="s">
        <v>3058</v>
      </c>
      <c r="D574" s="7" t="s">
        <v>720</v>
      </c>
      <c r="E574" s="7" t="s">
        <v>3068</v>
      </c>
      <c r="F574" s="7" t="s">
        <v>2133</v>
      </c>
      <c r="G574" s="7" t="s">
        <v>3069</v>
      </c>
      <c r="H574" s="7" t="s">
        <v>3070</v>
      </c>
      <c r="I574" s="6" t="s">
        <v>37</v>
      </c>
      <c r="J574" s="8"/>
      <c r="K574" s="8" t="s">
        <v>79</v>
      </c>
      <c r="L574" s="9"/>
      <c r="M574" s="9"/>
      <c r="N574" s="8"/>
      <c r="O574" s="10"/>
    </row>
    <row r="575" spans="1:15" ht="39.6" x14ac:dyDescent="0.3">
      <c r="A575" s="11" t="s">
        <v>3071</v>
      </c>
      <c r="B575" s="12" t="s">
        <v>2751</v>
      </c>
      <c r="C575" s="12" t="s">
        <v>3072</v>
      </c>
      <c r="D575" s="12" t="s">
        <v>842</v>
      </c>
      <c r="E575" s="12" t="s">
        <v>3073</v>
      </c>
      <c r="F575" s="12" t="s">
        <v>2133</v>
      </c>
      <c r="G575" s="12" t="s">
        <v>3074</v>
      </c>
      <c r="H575" s="12" t="s">
        <v>3075</v>
      </c>
      <c r="I575" s="11" t="s">
        <v>37</v>
      </c>
      <c r="J575" s="8"/>
      <c r="K575" s="8" t="s">
        <v>79</v>
      </c>
      <c r="L575" s="9"/>
      <c r="M575" s="9"/>
      <c r="N575" s="8"/>
      <c r="O575" s="10"/>
    </row>
    <row r="576" spans="1:15" ht="26.4" x14ac:dyDescent="0.3">
      <c r="A576" s="6" t="s">
        <v>3076</v>
      </c>
      <c r="B576" s="7" t="s">
        <v>2751</v>
      </c>
      <c r="C576" s="7" t="s">
        <v>3077</v>
      </c>
      <c r="D576" s="7" t="s">
        <v>3078</v>
      </c>
      <c r="E576" s="7" t="s">
        <v>3079</v>
      </c>
      <c r="F576" s="7" t="s">
        <v>48</v>
      </c>
      <c r="G576" s="7" t="s">
        <v>3080</v>
      </c>
      <c r="H576" s="7" t="s">
        <v>3081</v>
      </c>
      <c r="I576" s="6" t="s">
        <v>37</v>
      </c>
      <c r="J576" s="8"/>
      <c r="K576" s="8" t="s">
        <v>79</v>
      </c>
      <c r="L576" s="9"/>
      <c r="M576" s="9"/>
      <c r="N576" s="8"/>
      <c r="O576" s="10"/>
    </row>
    <row r="577" spans="1:15" ht="66" x14ac:dyDescent="0.3">
      <c r="A577" s="11" t="s">
        <v>3082</v>
      </c>
      <c r="B577" s="12" t="s">
        <v>2751</v>
      </c>
      <c r="C577" s="12" t="s">
        <v>3077</v>
      </c>
      <c r="D577" s="12" t="s">
        <v>3083</v>
      </c>
      <c r="E577" s="12" t="s">
        <v>3084</v>
      </c>
      <c r="F577" s="12" t="s">
        <v>48</v>
      </c>
      <c r="G577" s="12" t="s">
        <v>3085</v>
      </c>
      <c r="H577" s="12" t="s">
        <v>3086</v>
      </c>
      <c r="I577" s="11" t="s">
        <v>37</v>
      </c>
      <c r="J577" s="8"/>
      <c r="K577" s="8" t="s">
        <v>79</v>
      </c>
      <c r="L577" s="9"/>
      <c r="M577" s="9"/>
      <c r="N577" s="8"/>
      <c r="O577" s="10"/>
    </row>
    <row r="578" spans="1:15" ht="52.8" x14ac:dyDescent="0.3">
      <c r="A578" s="6" t="s">
        <v>3087</v>
      </c>
      <c r="B578" s="7" t="s">
        <v>2751</v>
      </c>
      <c r="C578" s="7" t="s">
        <v>3088</v>
      </c>
      <c r="D578" s="7" t="s">
        <v>3089</v>
      </c>
      <c r="E578" s="7" t="s">
        <v>3090</v>
      </c>
      <c r="F578" s="7" t="s">
        <v>76</v>
      </c>
      <c r="G578" s="7" t="s">
        <v>3091</v>
      </c>
      <c r="H578" s="7" t="s">
        <v>3092</v>
      </c>
      <c r="I578" s="6" t="s">
        <v>37</v>
      </c>
      <c r="J578" s="8"/>
      <c r="K578" s="8" t="s">
        <v>79</v>
      </c>
      <c r="L578" s="9"/>
      <c r="M578" s="9"/>
      <c r="N578" s="8"/>
      <c r="O578" s="10"/>
    </row>
    <row r="579" spans="1:15" ht="39.6" x14ac:dyDescent="0.3">
      <c r="A579" s="11" t="s">
        <v>3093</v>
      </c>
      <c r="B579" s="12" t="s">
        <v>2751</v>
      </c>
      <c r="C579" s="12" t="s">
        <v>3094</v>
      </c>
      <c r="D579" s="12" t="s">
        <v>3095</v>
      </c>
      <c r="E579" s="12" t="s">
        <v>3096</v>
      </c>
      <c r="F579" s="12" t="s">
        <v>48</v>
      </c>
      <c r="G579" s="12" t="s">
        <v>3097</v>
      </c>
      <c r="H579" s="12" t="s">
        <v>3098</v>
      </c>
      <c r="I579" s="11" t="s">
        <v>37</v>
      </c>
      <c r="J579" s="8"/>
      <c r="K579" s="8" t="s">
        <v>79</v>
      </c>
      <c r="L579" s="9"/>
      <c r="M579" s="9"/>
      <c r="N579" s="8"/>
      <c r="O579" s="10"/>
    </row>
    <row r="580" spans="1:15" ht="26.4" x14ac:dyDescent="0.3">
      <c r="A580" s="6" t="s">
        <v>3099</v>
      </c>
      <c r="B580" s="7" t="s">
        <v>2751</v>
      </c>
      <c r="C580" s="7" t="s">
        <v>3094</v>
      </c>
      <c r="D580" s="7" t="s">
        <v>3100</v>
      </c>
      <c r="E580" s="7" t="s">
        <v>3101</v>
      </c>
      <c r="F580" s="7" t="s">
        <v>48</v>
      </c>
      <c r="G580" s="7" t="s">
        <v>3102</v>
      </c>
      <c r="H580" s="7" t="s">
        <v>3103</v>
      </c>
      <c r="I580" s="6" t="s">
        <v>37</v>
      </c>
      <c r="J580" s="8"/>
      <c r="K580" s="8" t="s">
        <v>79</v>
      </c>
      <c r="L580" s="9"/>
      <c r="M580" s="9"/>
      <c r="N580" s="8"/>
      <c r="O580" s="10"/>
    </row>
    <row r="581" spans="1:15" ht="26.4" x14ac:dyDescent="0.3">
      <c r="A581" s="11" t="s">
        <v>3104</v>
      </c>
      <c r="B581" s="12" t="s">
        <v>2751</v>
      </c>
      <c r="C581" s="12" t="s">
        <v>3094</v>
      </c>
      <c r="D581" s="12" t="s">
        <v>3105</v>
      </c>
      <c r="E581" s="12" t="s">
        <v>3106</v>
      </c>
      <c r="F581" s="12" t="s">
        <v>48</v>
      </c>
      <c r="G581" s="12" t="s">
        <v>3102</v>
      </c>
      <c r="H581" s="12" t="s">
        <v>3107</v>
      </c>
      <c r="I581" s="11" t="s">
        <v>37</v>
      </c>
      <c r="J581" s="8"/>
      <c r="K581" s="8" t="s">
        <v>79</v>
      </c>
      <c r="L581" s="9"/>
      <c r="M581" s="9"/>
      <c r="N581" s="8"/>
      <c r="O581" s="10"/>
    </row>
    <row r="582" spans="1:15" ht="26.4" x14ac:dyDescent="0.3">
      <c r="A582" s="6" t="s">
        <v>3108</v>
      </c>
      <c r="B582" s="7" t="s">
        <v>2751</v>
      </c>
      <c r="C582" s="7" t="s">
        <v>3094</v>
      </c>
      <c r="D582" s="7" t="s">
        <v>3109</v>
      </c>
      <c r="E582" s="7" t="s">
        <v>3110</v>
      </c>
      <c r="F582" s="7" t="s">
        <v>48</v>
      </c>
      <c r="G582" s="7" t="s">
        <v>3102</v>
      </c>
      <c r="H582" s="7" t="s">
        <v>3111</v>
      </c>
      <c r="I582" s="6" t="s">
        <v>37</v>
      </c>
      <c r="J582" s="8"/>
      <c r="K582" s="8" t="s">
        <v>79</v>
      </c>
      <c r="L582" s="9"/>
      <c r="M582" s="9"/>
      <c r="N582" s="8"/>
      <c r="O582" s="10"/>
    </row>
    <row r="583" spans="1:15" ht="26.4" x14ac:dyDescent="0.3">
      <c r="A583" s="11" t="s">
        <v>3112</v>
      </c>
      <c r="B583" s="12" t="s">
        <v>2751</v>
      </c>
      <c r="C583" s="12" t="s">
        <v>3094</v>
      </c>
      <c r="D583" s="12" t="s">
        <v>3113</v>
      </c>
      <c r="E583" s="12" t="s">
        <v>3114</v>
      </c>
      <c r="F583" s="12" t="s">
        <v>48</v>
      </c>
      <c r="G583" s="12" t="s">
        <v>3102</v>
      </c>
      <c r="H583" s="12" t="s">
        <v>3115</v>
      </c>
      <c r="I583" s="11" t="s">
        <v>37</v>
      </c>
      <c r="J583" s="8"/>
      <c r="K583" s="8" t="s">
        <v>79</v>
      </c>
      <c r="L583" s="9"/>
      <c r="M583" s="9"/>
      <c r="N583" s="8"/>
      <c r="O583" s="10"/>
    </row>
    <row r="584" spans="1:15" ht="26.4" x14ac:dyDescent="0.3">
      <c r="A584" s="6" t="s">
        <v>3116</v>
      </c>
      <c r="B584" s="7" t="s">
        <v>2751</v>
      </c>
      <c r="C584" s="7" t="s">
        <v>3094</v>
      </c>
      <c r="D584" s="7" t="s">
        <v>3117</v>
      </c>
      <c r="E584" s="7" t="s">
        <v>3118</v>
      </c>
      <c r="F584" s="7" t="s">
        <v>48</v>
      </c>
      <c r="G584" s="7" t="s">
        <v>3102</v>
      </c>
      <c r="H584" s="7" t="s">
        <v>3119</v>
      </c>
      <c r="I584" s="6" t="s">
        <v>37</v>
      </c>
      <c r="J584" s="8"/>
      <c r="K584" s="8" t="s">
        <v>79</v>
      </c>
      <c r="L584" s="9"/>
      <c r="M584" s="9"/>
      <c r="N584" s="8"/>
      <c r="O584" s="10"/>
    </row>
    <row r="585" spans="1:15" ht="26.4" x14ac:dyDescent="0.3">
      <c r="A585" s="11" t="s">
        <v>3120</v>
      </c>
      <c r="B585" s="12" t="s">
        <v>2751</v>
      </c>
      <c r="C585" s="12" t="s">
        <v>3094</v>
      </c>
      <c r="D585" s="12" t="s">
        <v>3121</v>
      </c>
      <c r="E585" s="12" t="s">
        <v>3122</v>
      </c>
      <c r="F585" s="12" t="s">
        <v>48</v>
      </c>
      <c r="G585" s="12" t="s">
        <v>3102</v>
      </c>
      <c r="H585" s="12" t="s">
        <v>3123</v>
      </c>
      <c r="I585" s="11" t="s">
        <v>37</v>
      </c>
      <c r="J585" s="8"/>
      <c r="K585" s="8" t="s">
        <v>79</v>
      </c>
      <c r="L585" s="9"/>
      <c r="M585" s="9"/>
      <c r="N585" s="8"/>
      <c r="O585" s="10"/>
    </row>
    <row r="586" spans="1:15" ht="26.4" x14ac:dyDescent="0.3">
      <c r="A586" s="6" t="s">
        <v>3124</v>
      </c>
      <c r="B586" s="7" t="s">
        <v>2751</v>
      </c>
      <c r="C586" s="7" t="s">
        <v>3094</v>
      </c>
      <c r="D586" s="7" t="s">
        <v>3125</v>
      </c>
      <c r="E586" s="7" t="s">
        <v>3126</v>
      </c>
      <c r="F586" s="7" t="s">
        <v>48</v>
      </c>
      <c r="G586" s="7" t="s">
        <v>3102</v>
      </c>
      <c r="H586" s="7" t="s">
        <v>3127</v>
      </c>
      <c r="I586" s="6" t="s">
        <v>37</v>
      </c>
      <c r="J586" s="8"/>
      <c r="K586" s="8" t="s">
        <v>79</v>
      </c>
      <c r="L586" s="9"/>
      <c r="M586" s="9"/>
      <c r="N586" s="8"/>
      <c r="O586" s="10"/>
    </row>
    <row r="587" spans="1:15" ht="52.8" x14ac:dyDescent="0.3">
      <c r="A587" s="11" t="s">
        <v>3128</v>
      </c>
      <c r="B587" s="12" t="s">
        <v>2751</v>
      </c>
      <c r="C587" s="12" t="s">
        <v>3129</v>
      </c>
      <c r="D587" s="12" t="s">
        <v>3130</v>
      </c>
      <c r="E587" s="12" t="s">
        <v>3131</v>
      </c>
      <c r="F587" s="12" t="s">
        <v>48</v>
      </c>
      <c r="G587" s="12" t="s">
        <v>3132</v>
      </c>
      <c r="H587" s="12" t="s">
        <v>3133</v>
      </c>
      <c r="I587" s="11" t="s">
        <v>37</v>
      </c>
      <c r="J587" s="8"/>
      <c r="K587" s="8" t="s">
        <v>79</v>
      </c>
      <c r="L587" s="9"/>
      <c r="M587" s="9"/>
      <c r="N587" s="8"/>
      <c r="O587" s="10"/>
    </row>
    <row r="588" spans="1:15" ht="26.4" x14ac:dyDescent="0.3">
      <c r="A588" s="6" t="s">
        <v>3134</v>
      </c>
      <c r="B588" s="7" t="s">
        <v>2751</v>
      </c>
      <c r="C588" s="7" t="s">
        <v>3135</v>
      </c>
      <c r="D588" s="7" t="s">
        <v>3136</v>
      </c>
      <c r="E588" s="7" t="s">
        <v>3137</v>
      </c>
      <c r="F588" s="7" t="s">
        <v>2238</v>
      </c>
      <c r="G588" s="7" t="s">
        <v>3138</v>
      </c>
      <c r="H588" s="7" t="s">
        <v>3139</v>
      </c>
      <c r="I588" s="6" t="s">
        <v>37</v>
      </c>
      <c r="J588" s="8"/>
      <c r="K588" s="8" t="s">
        <v>79</v>
      </c>
      <c r="L588" s="9"/>
      <c r="M588" s="9"/>
      <c r="N588" s="8"/>
      <c r="O588" s="10"/>
    </row>
    <row r="589" spans="1:15" ht="26.4" x14ac:dyDescent="0.3">
      <c r="A589" s="11" t="s">
        <v>3140</v>
      </c>
      <c r="B589" s="12" t="s">
        <v>2751</v>
      </c>
      <c r="C589" s="12" t="s">
        <v>3135</v>
      </c>
      <c r="D589" s="12" t="s">
        <v>3141</v>
      </c>
      <c r="E589" s="12" t="s">
        <v>3142</v>
      </c>
      <c r="F589" s="12" t="s">
        <v>2238</v>
      </c>
      <c r="G589" s="12" t="s">
        <v>3143</v>
      </c>
      <c r="H589" s="12" t="s">
        <v>3144</v>
      </c>
      <c r="I589" s="11" t="s">
        <v>37</v>
      </c>
      <c r="J589" s="8"/>
      <c r="K589" s="8" t="s">
        <v>79</v>
      </c>
      <c r="L589" s="9"/>
      <c r="M589" s="9"/>
      <c r="N589" s="8"/>
      <c r="O589" s="10"/>
    </row>
    <row r="590" spans="1:15" ht="26.4" x14ac:dyDescent="0.3">
      <c r="A590" s="6" t="s">
        <v>3145</v>
      </c>
      <c r="B590" s="7" t="s">
        <v>2751</v>
      </c>
      <c r="C590" s="7" t="s">
        <v>3135</v>
      </c>
      <c r="D590" s="7" t="s">
        <v>3146</v>
      </c>
      <c r="E590" s="7" t="s">
        <v>3147</v>
      </c>
      <c r="F590" s="7" t="s">
        <v>2238</v>
      </c>
      <c r="G590" s="7" t="s">
        <v>3148</v>
      </c>
      <c r="H590" s="7" t="s">
        <v>3149</v>
      </c>
      <c r="I590" s="6" t="s">
        <v>37</v>
      </c>
      <c r="J590" s="8"/>
      <c r="K590" s="8" t="s">
        <v>79</v>
      </c>
      <c r="L590" s="9"/>
      <c r="M590" s="9"/>
      <c r="N590" s="8"/>
      <c r="O590" s="10"/>
    </row>
    <row r="591" spans="1:15" ht="26.4" x14ac:dyDescent="0.3">
      <c r="A591" s="11" t="s">
        <v>3150</v>
      </c>
      <c r="B591" s="12" t="s">
        <v>2751</v>
      </c>
      <c r="C591" s="12" t="s">
        <v>3135</v>
      </c>
      <c r="D591" s="12" t="s">
        <v>3151</v>
      </c>
      <c r="E591" s="12" t="s">
        <v>3152</v>
      </c>
      <c r="F591" s="12" t="s">
        <v>2238</v>
      </c>
      <c r="G591" s="12" t="s">
        <v>3148</v>
      </c>
      <c r="H591" s="12" t="s">
        <v>3153</v>
      </c>
      <c r="I591" s="11" t="s">
        <v>37</v>
      </c>
      <c r="J591" s="8"/>
      <c r="K591" s="8" t="s">
        <v>79</v>
      </c>
      <c r="L591" s="9"/>
      <c r="M591" s="9"/>
      <c r="N591" s="8"/>
      <c r="O591" s="10"/>
    </row>
    <row r="592" spans="1:15" ht="39.6" x14ac:dyDescent="0.3">
      <c r="A592" s="6" t="s">
        <v>3154</v>
      </c>
      <c r="B592" s="7" t="s">
        <v>2751</v>
      </c>
      <c r="C592" s="7" t="s">
        <v>3135</v>
      </c>
      <c r="D592" s="7" t="s">
        <v>3155</v>
      </c>
      <c r="E592" s="7" t="s">
        <v>3156</v>
      </c>
      <c r="F592" s="7" t="s">
        <v>2238</v>
      </c>
      <c r="G592" s="7" t="s">
        <v>3148</v>
      </c>
      <c r="H592" s="7" t="s">
        <v>3157</v>
      </c>
      <c r="I592" s="6" t="s">
        <v>37</v>
      </c>
      <c r="J592" s="8"/>
      <c r="K592" s="8" t="s">
        <v>79</v>
      </c>
      <c r="L592" s="9"/>
      <c r="M592" s="9"/>
      <c r="N592" s="8"/>
      <c r="O592" s="10"/>
    </row>
    <row r="593" spans="1:15" ht="26.4" x14ac:dyDescent="0.3">
      <c r="A593" s="11" t="s">
        <v>3158</v>
      </c>
      <c r="B593" s="12" t="s">
        <v>3159</v>
      </c>
      <c r="C593" s="12" t="s">
        <v>1957</v>
      </c>
      <c r="D593" s="12" t="s">
        <v>3160</v>
      </c>
      <c r="E593" s="12" t="s">
        <v>3161</v>
      </c>
      <c r="F593" s="12" t="s">
        <v>3050</v>
      </c>
      <c r="G593" s="12" t="s">
        <v>77</v>
      </c>
      <c r="H593" s="12" t="s">
        <v>3162</v>
      </c>
      <c r="I593" s="11" t="s">
        <v>37</v>
      </c>
      <c r="J593" s="8"/>
      <c r="K593" s="8" t="s">
        <v>79</v>
      </c>
      <c r="L593" s="9"/>
      <c r="M593" s="9"/>
      <c r="N593" s="8"/>
      <c r="O593" s="10"/>
    </row>
    <row r="594" spans="1:15" ht="39.6" x14ac:dyDescent="0.3">
      <c r="A594" s="6" t="s">
        <v>3163</v>
      </c>
      <c r="B594" s="7" t="s">
        <v>3159</v>
      </c>
      <c r="C594" s="7" t="s">
        <v>3164</v>
      </c>
      <c r="D594" s="7" t="s">
        <v>3165</v>
      </c>
      <c r="E594" s="7" t="s">
        <v>3166</v>
      </c>
      <c r="F594" s="7" t="s">
        <v>48</v>
      </c>
      <c r="G594" s="7" t="s">
        <v>3167</v>
      </c>
      <c r="H594" s="7" t="s">
        <v>3168</v>
      </c>
      <c r="I594" s="6" t="s">
        <v>37</v>
      </c>
      <c r="J594" s="8"/>
      <c r="K594" s="8" t="s">
        <v>79</v>
      </c>
      <c r="L594" s="9"/>
      <c r="M594" s="9"/>
      <c r="N594" s="8"/>
      <c r="O594" s="10"/>
    </row>
    <row r="595" spans="1:15" ht="26.4" x14ac:dyDescent="0.3">
      <c r="A595" s="11" t="s">
        <v>3169</v>
      </c>
      <c r="B595" s="12" t="s">
        <v>3159</v>
      </c>
      <c r="C595" s="12" t="s">
        <v>3164</v>
      </c>
      <c r="D595" s="12" t="s">
        <v>3170</v>
      </c>
      <c r="E595" s="12" t="s">
        <v>3171</v>
      </c>
      <c r="F595" s="12" t="s">
        <v>48</v>
      </c>
      <c r="G595" s="12" t="s">
        <v>3172</v>
      </c>
      <c r="H595" s="12" t="s">
        <v>3173</v>
      </c>
      <c r="I595" s="11" t="s">
        <v>37</v>
      </c>
      <c r="J595" s="8"/>
      <c r="K595" s="8" t="s">
        <v>79</v>
      </c>
      <c r="L595" s="9"/>
      <c r="M595" s="9"/>
      <c r="N595" s="8"/>
      <c r="O595" s="10"/>
    </row>
    <row r="596" spans="1:15" ht="39.6" x14ac:dyDescent="0.3">
      <c r="A596" s="6" t="s">
        <v>3174</v>
      </c>
      <c r="B596" s="7" t="s">
        <v>3159</v>
      </c>
      <c r="C596" s="7" t="s">
        <v>3164</v>
      </c>
      <c r="D596" s="7" t="s">
        <v>3175</v>
      </c>
      <c r="E596" s="7" t="s">
        <v>3176</v>
      </c>
      <c r="F596" s="7" t="s">
        <v>48</v>
      </c>
      <c r="G596" s="7" t="s">
        <v>3177</v>
      </c>
      <c r="H596" s="7" t="s">
        <v>3178</v>
      </c>
      <c r="I596" s="6" t="s">
        <v>37</v>
      </c>
      <c r="J596" s="8"/>
      <c r="K596" s="8" t="s">
        <v>79</v>
      </c>
      <c r="L596" s="9"/>
      <c r="M596" s="9"/>
      <c r="N596" s="8"/>
      <c r="O596" s="10"/>
    </row>
    <row r="597" spans="1:15" ht="26.4" x14ac:dyDescent="0.3">
      <c r="A597" s="11" t="s">
        <v>3179</v>
      </c>
      <c r="B597" s="12" t="s">
        <v>3159</v>
      </c>
      <c r="C597" s="12" t="s">
        <v>3164</v>
      </c>
      <c r="D597" s="12" t="s">
        <v>3180</v>
      </c>
      <c r="E597" s="12" t="s">
        <v>3181</v>
      </c>
      <c r="F597" s="12" t="s">
        <v>48</v>
      </c>
      <c r="G597" s="12" t="s">
        <v>3177</v>
      </c>
      <c r="H597" s="12" t="s">
        <v>3182</v>
      </c>
      <c r="I597" s="11" t="s">
        <v>37</v>
      </c>
      <c r="J597" s="8"/>
      <c r="K597" s="8" t="s">
        <v>79</v>
      </c>
      <c r="L597" s="9"/>
      <c r="M597" s="9"/>
      <c r="N597" s="8"/>
      <c r="O597" s="10"/>
    </row>
    <row r="598" spans="1:15" ht="26.4" x14ac:dyDescent="0.3">
      <c r="A598" s="6" t="s">
        <v>3183</v>
      </c>
      <c r="B598" s="7" t="s">
        <v>3159</v>
      </c>
      <c r="C598" s="7" t="s">
        <v>3164</v>
      </c>
      <c r="D598" s="7" t="s">
        <v>3184</v>
      </c>
      <c r="E598" s="7" t="s">
        <v>3185</v>
      </c>
      <c r="F598" s="7" t="s">
        <v>48</v>
      </c>
      <c r="G598" s="7" t="s">
        <v>3177</v>
      </c>
      <c r="H598" s="7" t="s">
        <v>3186</v>
      </c>
      <c r="I598" s="6" t="s">
        <v>37</v>
      </c>
      <c r="J598" s="8"/>
      <c r="K598" s="8" t="s">
        <v>79</v>
      </c>
      <c r="L598" s="9"/>
      <c r="M598" s="9"/>
      <c r="N598" s="8"/>
      <c r="O598" s="10"/>
    </row>
    <row r="599" spans="1:15" ht="26.4" x14ac:dyDescent="0.3">
      <c r="A599" s="11" t="s">
        <v>3187</v>
      </c>
      <c r="B599" s="12" t="s">
        <v>3159</v>
      </c>
      <c r="C599" s="12" t="s">
        <v>3164</v>
      </c>
      <c r="D599" s="12" t="s">
        <v>3188</v>
      </c>
      <c r="E599" s="12" t="s">
        <v>3189</v>
      </c>
      <c r="F599" s="12" t="s">
        <v>48</v>
      </c>
      <c r="G599" s="12" t="s">
        <v>3177</v>
      </c>
      <c r="H599" s="12" t="s">
        <v>3190</v>
      </c>
      <c r="I599" s="11" t="s">
        <v>37</v>
      </c>
      <c r="J599" s="8"/>
      <c r="K599" s="8" t="s">
        <v>79</v>
      </c>
      <c r="L599" s="9"/>
      <c r="M599" s="9"/>
      <c r="N599" s="8"/>
      <c r="O599" s="10"/>
    </row>
    <row r="600" spans="1:15" ht="39.6" x14ac:dyDescent="0.3">
      <c r="A600" s="6" t="s">
        <v>3191</v>
      </c>
      <c r="B600" s="7" t="s">
        <v>3159</v>
      </c>
      <c r="C600" s="7" t="s">
        <v>3164</v>
      </c>
      <c r="D600" s="7" t="s">
        <v>3192</v>
      </c>
      <c r="E600" s="7" t="s">
        <v>3193</v>
      </c>
      <c r="F600" s="7" t="s">
        <v>48</v>
      </c>
      <c r="G600" s="7" t="s">
        <v>3177</v>
      </c>
      <c r="H600" s="7" t="s">
        <v>3194</v>
      </c>
      <c r="I600" s="6" t="s">
        <v>37</v>
      </c>
      <c r="J600" s="8"/>
      <c r="K600" s="8" t="s">
        <v>79</v>
      </c>
      <c r="L600" s="9"/>
      <c r="M600" s="9"/>
      <c r="N600" s="8"/>
      <c r="O600" s="10"/>
    </row>
    <row r="601" spans="1:15" ht="26.4" x14ac:dyDescent="0.3">
      <c r="A601" s="11" t="s">
        <v>3195</v>
      </c>
      <c r="B601" s="12" t="s">
        <v>3159</v>
      </c>
      <c r="C601" s="12" t="s">
        <v>3164</v>
      </c>
      <c r="D601" s="12" t="s">
        <v>3196</v>
      </c>
      <c r="E601" s="12" t="s">
        <v>3197</v>
      </c>
      <c r="F601" s="12" t="s">
        <v>48</v>
      </c>
      <c r="G601" s="12" t="s">
        <v>3198</v>
      </c>
      <c r="H601" s="12" t="s">
        <v>3199</v>
      </c>
      <c r="I601" s="11" t="s">
        <v>37</v>
      </c>
      <c r="J601" s="8"/>
      <c r="K601" s="8" t="s">
        <v>79</v>
      </c>
      <c r="L601" s="9"/>
      <c r="M601" s="9"/>
      <c r="N601" s="8"/>
      <c r="O601" s="10"/>
    </row>
    <row r="602" spans="1:15" ht="26.4" x14ac:dyDescent="0.3">
      <c r="A602" s="6" t="s">
        <v>3200</v>
      </c>
      <c r="B602" s="7" t="s">
        <v>3159</v>
      </c>
      <c r="C602" s="7" t="s">
        <v>3164</v>
      </c>
      <c r="D602" s="7" t="s">
        <v>3201</v>
      </c>
      <c r="E602" s="7" t="s">
        <v>3202</v>
      </c>
      <c r="F602" s="7" t="s">
        <v>48</v>
      </c>
      <c r="G602" s="7" t="s">
        <v>3203</v>
      </c>
      <c r="H602" s="7" t="s">
        <v>3204</v>
      </c>
      <c r="I602" s="6" t="s">
        <v>37</v>
      </c>
      <c r="J602" s="8"/>
      <c r="K602" s="8" t="s">
        <v>79</v>
      </c>
      <c r="L602" s="9"/>
      <c r="M602" s="9"/>
      <c r="N602" s="8"/>
      <c r="O602" s="10"/>
    </row>
    <row r="603" spans="1:15" ht="52.8" x14ac:dyDescent="0.3">
      <c r="A603" s="11" t="s">
        <v>3205</v>
      </c>
      <c r="B603" s="12" t="s">
        <v>3159</v>
      </c>
      <c r="C603" s="12" t="s">
        <v>3206</v>
      </c>
      <c r="D603" s="12" t="s">
        <v>3207</v>
      </c>
      <c r="E603" s="12" t="s">
        <v>3208</v>
      </c>
      <c r="F603" s="12" t="s">
        <v>48</v>
      </c>
      <c r="G603" s="12" t="s">
        <v>3209</v>
      </c>
      <c r="H603" s="12" t="s">
        <v>3210</v>
      </c>
      <c r="I603" s="11" t="s">
        <v>37</v>
      </c>
      <c r="J603" s="8"/>
      <c r="K603" s="8" t="s">
        <v>79</v>
      </c>
      <c r="L603" s="9"/>
      <c r="M603" s="9"/>
      <c r="N603" s="8"/>
      <c r="O603" s="10"/>
    </row>
    <row r="604" spans="1:15" ht="26.4" x14ac:dyDescent="0.3">
      <c r="A604" s="6" t="s">
        <v>3211</v>
      </c>
      <c r="B604" s="7" t="s">
        <v>3159</v>
      </c>
      <c r="C604" s="7" t="s">
        <v>3206</v>
      </c>
      <c r="D604" s="7" t="s">
        <v>3212</v>
      </c>
      <c r="E604" s="7" t="s">
        <v>3213</v>
      </c>
      <c r="F604" s="7" t="s">
        <v>48</v>
      </c>
      <c r="G604" s="7" t="s">
        <v>3214</v>
      </c>
      <c r="H604" s="7" t="s">
        <v>3215</v>
      </c>
      <c r="I604" s="6" t="s">
        <v>37</v>
      </c>
      <c r="J604" s="8"/>
      <c r="K604" s="8" t="s">
        <v>79</v>
      </c>
      <c r="L604" s="9"/>
      <c r="M604" s="9"/>
      <c r="N604" s="8"/>
      <c r="O604" s="10"/>
    </row>
    <row r="605" spans="1:15" ht="26.4" x14ac:dyDescent="0.3">
      <c r="A605" s="11" t="s">
        <v>3216</v>
      </c>
      <c r="B605" s="12" t="s">
        <v>3159</v>
      </c>
      <c r="C605" s="12" t="s">
        <v>3164</v>
      </c>
      <c r="D605" s="12" t="s">
        <v>3217</v>
      </c>
      <c r="E605" s="12" t="s">
        <v>3218</v>
      </c>
      <c r="F605" s="12" t="s">
        <v>48</v>
      </c>
      <c r="G605" s="12" t="s">
        <v>77</v>
      </c>
      <c r="H605" s="12" t="s">
        <v>3219</v>
      </c>
      <c r="I605" s="11" t="s">
        <v>37</v>
      </c>
      <c r="J605" s="8"/>
      <c r="K605" s="8" t="s">
        <v>79</v>
      </c>
      <c r="L605" s="9"/>
      <c r="M605" s="9"/>
      <c r="N605" s="8"/>
      <c r="O605" s="10"/>
    </row>
    <row r="606" spans="1:15" ht="26.4" x14ac:dyDescent="0.3">
      <c r="A606" s="6" t="s">
        <v>3220</v>
      </c>
      <c r="B606" s="7" t="s">
        <v>3159</v>
      </c>
      <c r="C606" s="7" t="s">
        <v>3221</v>
      </c>
      <c r="D606" s="7" t="s">
        <v>3222</v>
      </c>
      <c r="E606" s="7" t="s">
        <v>3223</v>
      </c>
      <c r="F606" s="7" t="s">
        <v>48</v>
      </c>
      <c r="G606" s="7" t="s">
        <v>3224</v>
      </c>
      <c r="H606" s="7" t="s">
        <v>3225</v>
      </c>
      <c r="I606" s="6" t="s">
        <v>37</v>
      </c>
      <c r="J606" s="8"/>
      <c r="K606" s="8" t="s">
        <v>79</v>
      </c>
      <c r="L606" s="9"/>
      <c r="M606" s="9"/>
      <c r="N606" s="8"/>
      <c r="O606" s="10"/>
    </row>
    <row r="607" spans="1:15" ht="52.8" x14ac:dyDescent="0.3">
      <c r="A607" s="11" t="s">
        <v>3226</v>
      </c>
      <c r="B607" s="12" t="s">
        <v>3159</v>
      </c>
      <c r="C607" s="12" t="s">
        <v>3227</v>
      </c>
      <c r="D607" s="12" t="s">
        <v>3228</v>
      </c>
      <c r="E607" s="12" t="s">
        <v>3229</v>
      </c>
      <c r="F607" s="12" t="s">
        <v>48</v>
      </c>
      <c r="G607" s="12" t="s">
        <v>3230</v>
      </c>
      <c r="H607" s="12" t="s">
        <v>3231</v>
      </c>
      <c r="I607" s="11" t="s">
        <v>37</v>
      </c>
      <c r="J607" s="8"/>
      <c r="K607" s="8" t="s">
        <v>79</v>
      </c>
      <c r="L607" s="9"/>
      <c r="M607" s="9"/>
      <c r="N607" s="8"/>
      <c r="O607" s="10"/>
    </row>
    <row r="608" spans="1:15" ht="26.4" x14ac:dyDescent="0.3">
      <c r="A608" s="6" t="s">
        <v>3232</v>
      </c>
      <c r="B608" s="7" t="s">
        <v>3159</v>
      </c>
      <c r="C608" s="7" t="s">
        <v>3233</v>
      </c>
      <c r="D608" s="7" t="s">
        <v>3234</v>
      </c>
      <c r="E608" s="7" t="s">
        <v>3235</v>
      </c>
      <c r="F608" s="7" t="s">
        <v>48</v>
      </c>
      <c r="G608" s="7" t="s">
        <v>3236</v>
      </c>
      <c r="H608" s="7" t="s">
        <v>3237</v>
      </c>
      <c r="I608" s="6" t="s">
        <v>37</v>
      </c>
      <c r="J608" s="8"/>
      <c r="K608" s="8" t="s">
        <v>79</v>
      </c>
      <c r="L608" s="9"/>
      <c r="M608" s="9"/>
      <c r="N608" s="8"/>
      <c r="O608" s="10"/>
    </row>
    <row r="609" spans="1:15" ht="26.4" x14ac:dyDescent="0.3">
      <c r="A609" s="11" t="s">
        <v>3238</v>
      </c>
      <c r="B609" s="12" t="s">
        <v>3159</v>
      </c>
      <c r="C609" s="12" t="s">
        <v>3135</v>
      </c>
      <c r="D609" s="12" t="s">
        <v>3239</v>
      </c>
      <c r="E609" s="12" t="s">
        <v>3240</v>
      </c>
      <c r="F609" s="12" t="s">
        <v>2238</v>
      </c>
      <c r="G609" s="12" t="s">
        <v>3241</v>
      </c>
      <c r="H609" s="12" t="s">
        <v>3242</v>
      </c>
      <c r="I609" s="11" t="s">
        <v>37</v>
      </c>
      <c r="J609" s="8"/>
      <c r="K609" s="8" t="s">
        <v>79</v>
      </c>
      <c r="L609" s="9"/>
      <c r="M609" s="9"/>
      <c r="N609" s="8"/>
      <c r="O609" s="10"/>
    </row>
    <row r="610" spans="1:15" ht="26.4" x14ac:dyDescent="0.3">
      <c r="A610" s="6" t="s">
        <v>3243</v>
      </c>
      <c r="B610" s="7" t="s">
        <v>3244</v>
      </c>
      <c r="C610" s="7" t="s">
        <v>1957</v>
      </c>
      <c r="D610" s="7" t="s">
        <v>3245</v>
      </c>
      <c r="E610" s="7" t="s">
        <v>3246</v>
      </c>
      <c r="F610" s="7" t="s">
        <v>48</v>
      </c>
      <c r="G610" s="7" t="s">
        <v>77</v>
      </c>
      <c r="H610" s="7" t="s">
        <v>3247</v>
      </c>
      <c r="I610" s="6" t="s">
        <v>37</v>
      </c>
      <c r="J610" s="8"/>
      <c r="K610" s="8" t="s">
        <v>79</v>
      </c>
      <c r="L610" s="9"/>
      <c r="M610" s="9"/>
      <c r="N610" s="8"/>
      <c r="O610" s="10"/>
    </row>
    <row r="611" spans="1:15" ht="39.6" x14ac:dyDescent="0.3">
      <c r="A611" s="11" t="s">
        <v>3248</v>
      </c>
      <c r="B611" s="12" t="s">
        <v>3244</v>
      </c>
      <c r="C611" s="12" t="s">
        <v>955</v>
      </c>
      <c r="D611" s="12" t="s">
        <v>3249</v>
      </c>
      <c r="E611" s="12" t="s">
        <v>3250</v>
      </c>
      <c r="F611" s="12" t="s">
        <v>48</v>
      </c>
      <c r="G611" s="12" t="s">
        <v>3251</v>
      </c>
      <c r="H611" s="12" t="s">
        <v>953</v>
      </c>
      <c r="I611" s="11" t="s">
        <v>37</v>
      </c>
      <c r="J611" s="8"/>
      <c r="K611" s="8" t="s">
        <v>79</v>
      </c>
      <c r="L611" s="9"/>
      <c r="M611" s="9"/>
      <c r="N611" s="8"/>
      <c r="O611" s="10"/>
    </row>
    <row r="612" spans="1:15" x14ac:dyDescent="0.3">
      <c r="A612" s="6" t="s">
        <v>3252</v>
      </c>
      <c r="B612" s="7" t="s">
        <v>3244</v>
      </c>
      <c r="C612" s="7" t="s">
        <v>955</v>
      </c>
      <c r="D612" s="7" t="s">
        <v>3253</v>
      </c>
      <c r="E612" s="7" t="s">
        <v>3254</v>
      </c>
      <c r="F612" s="7" t="s">
        <v>48</v>
      </c>
      <c r="G612" s="7" t="s">
        <v>77</v>
      </c>
      <c r="H612" s="7" t="s">
        <v>959</v>
      </c>
      <c r="I612" s="6" t="s">
        <v>37</v>
      </c>
      <c r="J612" s="8"/>
      <c r="K612" s="8" t="s">
        <v>79</v>
      </c>
      <c r="L612" s="9"/>
      <c r="M612" s="9"/>
      <c r="N612" s="8"/>
      <c r="O612" s="10"/>
    </row>
    <row r="613" spans="1:15" x14ac:dyDescent="0.3">
      <c r="A613" s="11" t="s">
        <v>3255</v>
      </c>
      <c r="B613" s="12" t="s">
        <v>3244</v>
      </c>
      <c r="C613" s="12" t="s">
        <v>955</v>
      </c>
      <c r="D613" s="12" t="s">
        <v>3256</v>
      </c>
      <c r="E613" s="12" t="s">
        <v>3257</v>
      </c>
      <c r="F613" s="12" t="s">
        <v>48</v>
      </c>
      <c r="G613" s="12" t="s">
        <v>77</v>
      </c>
      <c r="H613" s="12" t="s">
        <v>3258</v>
      </c>
      <c r="I613" s="11" t="s">
        <v>37</v>
      </c>
      <c r="J613" s="8"/>
      <c r="K613" s="8" t="s">
        <v>79</v>
      </c>
      <c r="L613" s="9"/>
      <c r="M613" s="9"/>
      <c r="N613" s="8"/>
      <c r="O613" s="10"/>
    </row>
    <row r="614" spans="1:15" ht="39.6" x14ac:dyDescent="0.3">
      <c r="A614" s="6" t="s">
        <v>3259</v>
      </c>
      <c r="B614" s="7" t="s">
        <v>3244</v>
      </c>
      <c r="C614" s="7" t="s">
        <v>955</v>
      </c>
      <c r="D614" s="7" t="s">
        <v>3260</v>
      </c>
      <c r="E614" s="7" t="s">
        <v>3261</v>
      </c>
      <c r="F614" s="7" t="s">
        <v>48</v>
      </c>
      <c r="G614" s="7" t="s">
        <v>2063</v>
      </c>
      <c r="H614" s="7" t="s">
        <v>3262</v>
      </c>
      <c r="I614" s="6" t="s">
        <v>37</v>
      </c>
      <c r="J614" s="8"/>
      <c r="K614" s="8" t="s">
        <v>79</v>
      </c>
      <c r="L614" s="9"/>
      <c r="M614" s="9"/>
      <c r="N614" s="8"/>
      <c r="O614" s="10"/>
    </row>
    <row r="615" spans="1:15" ht="26.4" x14ac:dyDescent="0.3">
      <c r="A615" s="11" t="s">
        <v>3263</v>
      </c>
      <c r="B615" s="12" t="s">
        <v>3244</v>
      </c>
      <c r="C615" s="12" t="s">
        <v>955</v>
      </c>
      <c r="D615" s="12" t="s">
        <v>3264</v>
      </c>
      <c r="E615" s="12" t="s">
        <v>3265</v>
      </c>
      <c r="F615" s="12" t="s">
        <v>48</v>
      </c>
      <c r="G615" s="12" t="s">
        <v>3266</v>
      </c>
      <c r="H615" s="12" t="s">
        <v>3267</v>
      </c>
      <c r="I615" s="11" t="s">
        <v>37</v>
      </c>
      <c r="J615" s="8"/>
      <c r="K615" s="8" t="s">
        <v>79</v>
      </c>
      <c r="L615" s="9"/>
      <c r="M615" s="9"/>
      <c r="N615" s="8"/>
      <c r="O615" s="10"/>
    </row>
    <row r="616" spans="1:15" ht="26.4" x14ac:dyDescent="0.3">
      <c r="A616" s="6" t="s">
        <v>3268</v>
      </c>
      <c r="B616" s="7" t="s">
        <v>3244</v>
      </c>
      <c r="C616" s="7" t="s">
        <v>955</v>
      </c>
      <c r="D616" s="7" t="s">
        <v>3269</v>
      </c>
      <c r="E616" s="7" t="s">
        <v>3270</v>
      </c>
      <c r="F616" s="7" t="s">
        <v>48</v>
      </c>
      <c r="G616" s="7" t="s">
        <v>973</v>
      </c>
      <c r="H616" s="7" t="s">
        <v>974</v>
      </c>
      <c r="I616" s="6" t="s">
        <v>37</v>
      </c>
      <c r="J616" s="8"/>
      <c r="K616" s="8" t="s">
        <v>79</v>
      </c>
      <c r="L616" s="9"/>
      <c r="M616" s="9"/>
      <c r="N616" s="8"/>
      <c r="O616" s="10"/>
    </row>
    <row r="617" spans="1:15" ht="39.6" x14ac:dyDescent="0.3">
      <c r="A617" s="11" t="s">
        <v>3271</v>
      </c>
      <c r="B617" s="12" t="s">
        <v>3244</v>
      </c>
      <c r="C617" s="12" t="s">
        <v>988</v>
      </c>
      <c r="D617" s="12" t="s">
        <v>3272</v>
      </c>
      <c r="E617" s="12" t="s">
        <v>3273</v>
      </c>
      <c r="F617" s="12" t="s">
        <v>48</v>
      </c>
      <c r="G617" s="12" t="s">
        <v>3274</v>
      </c>
      <c r="H617" s="12" t="s">
        <v>3275</v>
      </c>
      <c r="I617" s="11" t="s">
        <v>37</v>
      </c>
      <c r="J617" s="8"/>
      <c r="K617" s="8" t="s">
        <v>79</v>
      </c>
      <c r="L617" s="9"/>
      <c r="M617" s="9"/>
      <c r="N617" s="8"/>
      <c r="O617" s="10"/>
    </row>
    <row r="618" spans="1:15" x14ac:dyDescent="0.3">
      <c r="A618" s="6" t="s">
        <v>3276</v>
      </c>
      <c r="B618" s="7" t="s">
        <v>3244</v>
      </c>
      <c r="C618" s="7" t="s">
        <v>3277</v>
      </c>
      <c r="D618" s="7" t="s">
        <v>3278</v>
      </c>
      <c r="E618" s="7" t="s">
        <v>3279</v>
      </c>
      <c r="F618" s="7" t="s">
        <v>3050</v>
      </c>
      <c r="G618" s="7" t="s">
        <v>77</v>
      </c>
      <c r="H618" s="7" t="s">
        <v>1363</v>
      </c>
      <c r="I618" s="6" t="s">
        <v>37</v>
      </c>
      <c r="J618" s="8"/>
      <c r="K618" s="8" t="s">
        <v>79</v>
      </c>
      <c r="L618" s="9"/>
      <c r="M618" s="9"/>
      <c r="N618" s="8"/>
      <c r="O618" s="10"/>
    </row>
    <row r="619" spans="1:15" ht="26.4" x14ac:dyDescent="0.3">
      <c r="A619" s="11" t="s">
        <v>3280</v>
      </c>
      <c r="B619" s="12" t="s">
        <v>3244</v>
      </c>
      <c r="C619" s="12" t="s">
        <v>3281</v>
      </c>
      <c r="D619" s="12" t="s">
        <v>3282</v>
      </c>
      <c r="E619" s="12" t="s">
        <v>3283</v>
      </c>
      <c r="F619" s="12" t="s">
        <v>48</v>
      </c>
      <c r="G619" s="12" t="s">
        <v>3284</v>
      </c>
      <c r="H619" s="12" t="s">
        <v>3285</v>
      </c>
      <c r="I619" s="11" t="s">
        <v>37</v>
      </c>
      <c r="J619" s="8"/>
      <c r="K619" s="8" t="s">
        <v>79</v>
      </c>
      <c r="L619" s="9"/>
      <c r="M619" s="9"/>
      <c r="N619" s="8"/>
      <c r="O619" s="10"/>
    </row>
    <row r="620" spans="1:15" x14ac:dyDescent="0.3">
      <c r="A620" s="6" t="s">
        <v>3286</v>
      </c>
      <c r="B620" s="7" t="s">
        <v>3287</v>
      </c>
      <c r="C620" s="7" t="s">
        <v>1957</v>
      </c>
      <c r="D620" s="7" t="s">
        <v>3288</v>
      </c>
      <c r="E620" s="7" t="s">
        <v>3289</v>
      </c>
      <c r="F620" s="7" t="s">
        <v>48</v>
      </c>
      <c r="G620" s="7" t="s">
        <v>77</v>
      </c>
      <c r="H620" s="7" t="s">
        <v>3290</v>
      </c>
      <c r="I620" s="6" t="s">
        <v>37</v>
      </c>
      <c r="J620" s="8"/>
      <c r="K620" s="8" t="s">
        <v>79</v>
      </c>
      <c r="L620" s="9"/>
      <c r="M620" s="9"/>
      <c r="N620" s="8"/>
      <c r="O620" s="10"/>
    </row>
    <row r="621" spans="1:15" x14ac:dyDescent="0.3">
      <c r="A621" s="11" t="s">
        <v>3291</v>
      </c>
      <c r="B621" s="12" t="s">
        <v>3287</v>
      </c>
      <c r="C621" s="12" t="s">
        <v>3292</v>
      </c>
      <c r="D621" s="12" t="s">
        <v>3293</v>
      </c>
      <c r="E621" s="12" t="s">
        <v>3294</v>
      </c>
      <c r="F621" s="12" t="s">
        <v>48</v>
      </c>
      <c r="G621" s="12" t="s">
        <v>3295</v>
      </c>
      <c r="H621" s="12" t="s">
        <v>3296</v>
      </c>
      <c r="I621" s="11" t="s">
        <v>37</v>
      </c>
      <c r="J621" s="8"/>
      <c r="K621" s="8" t="s">
        <v>79</v>
      </c>
      <c r="L621" s="9"/>
      <c r="M621" s="9"/>
      <c r="N621" s="8"/>
      <c r="O621" s="10"/>
    </row>
    <row r="622" spans="1:15" x14ac:dyDescent="0.3">
      <c r="A622" s="6" t="s">
        <v>3297</v>
      </c>
      <c r="B622" s="7" t="s">
        <v>3287</v>
      </c>
      <c r="C622" s="7" t="s">
        <v>3292</v>
      </c>
      <c r="D622" s="7" t="s">
        <v>3298</v>
      </c>
      <c r="E622" s="7" t="s">
        <v>3299</v>
      </c>
      <c r="F622" s="7" t="s">
        <v>48</v>
      </c>
      <c r="G622" s="7" t="s">
        <v>77</v>
      </c>
      <c r="H622" s="7" t="s">
        <v>3300</v>
      </c>
      <c r="I622" s="6" t="s">
        <v>37</v>
      </c>
      <c r="J622" s="8"/>
      <c r="K622" s="8" t="s">
        <v>79</v>
      </c>
      <c r="L622" s="9"/>
      <c r="M622" s="9"/>
      <c r="N622" s="8"/>
      <c r="O622" s="10"/>
    </row>
    <row r="623" spans="1:15" x14ac:dyDescent="0.3">
      <c r="A623" s="11" t="s">
        <v>3301</v>
      </c>
      <c r="B623" s="12" t="s">
        <v>3287</v>
      </c>
      <c r="C623" s="12" t="s">
        <v>3292</v>
      </c>
      <c r="D623" s="12" t="s">
        <v>3302</v>
      </c>
      <c r="E623" s="12" t="s">
        <v>3303</v>
      </c>
      <c r="F623" s="12" t="s">
        <v>48</v>
      </c>
      <c r="G623" s="12" t="s">
        <v>77</v>
      </c>
      <c r="H623" s="12" t="s">
        <v>3304</v>
      </c>
      <c r="I623" s="11" t="s">
        <v>37</v>
      </c>
      <c r="J623" s="8"/>
      <c r="K623" s="8" t="s">
        <v>79</v>
      </c>
      <c r="L623" s="9"/>
      <c r="M623" s="9"/>
      <c r="N623" s="8"/>
      <c r="O623" s="10"/>
    </row>
    <row r="624" spans="1:15" x14ac:dyDescent="0.3">
      <c r="A624" s="6" t="s">
        <v>3305</v>
      </c>
      <c r="B624" s="7" t="s">
        <v>3287</v>
      </c>
      <c r="C624" s="7" t="s">
        <v>3292</v>
      </c>
      <c r="D624" s="7" t="s">
        <v>3306</v>
      </c>
      <c r="E624" s="7" t="s">
        <v>3307</v>
      </c>
      <c r="F624" s="7" t="s">
        <v>48</v>
      </c>
      <c r="G624" s="7" t="s">
        <v>1411</v>
      </c>
      <c r="H624" s="7" t="s">
        <v>3308</v>
      </c>
      <c r="I624" s="6" t="s">
        <v>37</v>
      </c>
      <c r="J624" s="8"/>
      <c r="K624" s="8" t="s">
        <v>79</v>
      </c>
      <c r="L624" s="9"/>
      <c r="M624" s="9"/>
      <c r="N624" s="8"/>
      <c r="O624" s="10"/>
    </row>
    <row r="625" spans="1:15" ht="26.4" x14ac:dyDescent="0.3">
      <c r="A625" s="11" t="s">
        <v>3309</v>
      </c>
      <c r="B625" s="12" t="s">
        <v>3287</v>
      </c>
      <c r="C625" s="12" t="s">
        <v>3292</v>
      </c>
      <c r="D625" s="12" t="s">
        <v>3310</v>
      </c>
      <c r="E625" s="12" t="s">
        <v>3311</v>
      </c>
      <c r="F625" s="12" t="s">
        <v>48</v>
      </c>
      <c r="G625" s="12" t="s">
        <v>77</v>
      </c>
      <c r="H625" s="12" t="s">
        <v>3312</v>
      </c>
      <c r="I625" s="11" t="s">
        <v>37</v>
      </c>
      <c r="J625" s="8"/>
      <c r="K625" s="8" t="s">
        <v>79</v>
      </c>
      <c r="L625" s="9"/>
      <c r="M625" s="9"/>
      <c r="N625" s="8"/>
      <c r="O625" s="10"/>
    </row>
    <row r="626" spans="1:15" ht="26.4" x14ac:dyDescent="0.3">
      <c r="A626" s="6" t="s">
        <v>3313</v>
      </c>
      <c r="B626" s="7" t="s">
        <v>3287</v>
      </c>
      <c r="C626" s="7" t="s">
        <v>3292</v>
      </c>
      <c r="D626" s="7" t="s">
        <v>3314</v>
      </c>
      <c r="E626" s="7" t="s">
        <v>3315</v>
      </c>
      <c r="F626" s="7" t="s">
        <v>48</v>
      </c>
      <c r="G626" s="7" t="s">
        <v>77</v>
      </c>
      <c r="H626" s="7" t="s">
        <v>3316</v>
      </c>
      <c r="I626" s="6" t="s">
        <v>37</v>
      </c>
      <c r="J626" s="8"/>
      <c r="K626" s="8" t="s">
        <v>79</v>
      </c>
      <c r="L626" s="9"/>
      <c r="M626" s="9"/>
      <c r="N626" s="8"/>
      <c r="O626" s="10"/>
    </row>
    <row r="627" spans="1:15" x14ac:dyDescent="0.3">
      <c r="A627" s="11" t="s">
        <v>3317</v>
      </c>
      <c r="B627" s="12" t="s">
        <v>3287</v>
      </c>
      <c r="C627" s="12" t="s">
        <v>3292</v>
      </c>
      <c r="D627" s="12" t="s">
        <v>3318</v>
      </c>
      <c r="E627" s="12" t="s">
        <v>3319</v>
      </c>
      <c r="F627" s="12" t="s">
        <v>48</v>
      </c>
      <c r="G627" s="12" t="s">
        <v>77</v>
      </c>
      <c r="H627" s="12" t="s">
        <v>3320</v>
      </c>
      <c r="I627" s="11" t="s">
        <v>37</v>
      </c>
      <c r="J627" s="8"/>
      <c r="K627" s="8" t="s">
        <v>79</v>
      </c>
      <c r="L627" s="9"/>
      <c r="M627" s="9"/>
      <c r="N627" s="8"/>
      <c r="O627" s="10"/>
    </row>
    <row r="628" spans="1:15" ht="26.4" x14ac:dyDescent="0.3">
      <c r="A628" s="6" t="s">
        <v>3321</v>
      </c>
      <c r="B628" s="7" t="s">
        <v>3287</v>
      </c>
      <c r="C628" s="7" t="s">
        <v>3292</v>
      </c>
      <c r="D628" s="7" t="s">
        <v>3322</v>
      </c>
      <c r="E628" s="7" t="s">
        <v>3323</v>
      </c>
      <c r="F628" s="7" t="s">
        <v>48</v>
      </c>
      <c r="G628" s="7" t="s">
        <v>3324</v>
      </c>
      <c r="H628" s="7" t="s">
        <v>3325</v>
      </c>
      <c r="I628" s="6" t="s">
        <v>37</v>
      </c>
      <c r="J628" s="8"/>
      <c r="K628" s="8" t="s">
        <v>79</v>
      </c>
      <c r="L628" s="9"/>
      <c r="M628" s="9"/>
      <c r="N628" s="8"/>
      <c r="O628" s="10"/>
    </row>
    <row r="629" spans="1:15" ht="26.4" x14ac:dyDescent="0.3">
      <c r="A629" s="11" t="s">
        <v>3326</v>
      </c>
      <c r="B629" s="12" t="s">
        <v>3287</v>
      </c>
      <c r="C629" s="12" t="s">
        <v>3292</v>
      </c>
      <c r="D629" s="12" t="s">
        <v>3327</v>
      </c>
      <c r="E629" s="12" t="s">
        <v>3328</v>
      </c>
      <c r="F629" s="12" t="s">
        <v>48</v>
      </c>
      <c r="G629" s="12" t="s">
        <v>2764</v>
      </c>
      <c r="H629" s="12" t="s">
        <v>3329</v>
      </c>
      <c r="I629" s="11" t="s">
        <v>37</v>
      </c>
      <c r="J629" s="8"/>
      <c r="K629" s="8" t="s">
        <v>79</v>
      </c>
      <c r="L629" s="9"/>
      <c r="M629" s="9"/>
      <c r="N629" s="8"/>
      <c r="O629" s="10"/>
    </row>
    <row r="630" spans="1:15" ht="39.6" x14ac:dyDescent="0.3">
      <c r="A630" s="6" t="s">
        <v>3330</v>
      </c>
      <c r="B630" s="7" t="s">
        <v>277</v>
      </c>
      <c r="C630" s="7" t="s">
        <v>3331</v>
      </c>
      <c r="D630" s="7" t="s">
        <v>3332</v>
      </c>
      <c r="E630" s="7" t="s">
        <v>3333</v>
      </c>
      <c r="F630" s="7" t="s">
        <v>76</v>
      </c>
      <c r="G630" s="7" t="s">
        <v>3334</v>
      </c>
      <c r="H630" s="7" t="s">
        <v>3335</v>
      </c>
      <c r="I630" s="6" t="s">
        <v>37</v>
      </c>
      <c r="J630" s="8"/>
      <c r="K630" s="8" t="s">
        <v>79</v>
      </c>
      <c r="L630" s="9"/>
      <c r="M630" s="9"/>
      <c r="N630" s="8"/>
      <c r="O630" s="10"/>
    </row>
    <row r="631" spans="1:15" ht="26.4" x14ac:dyDescent="0.3">
      <c r="A631" s="11" t="s">
        <v>3336</v>
      </c>
      <c r="B631" s="12" t="s">
        <v>277</v>
      </c>
      <c r="C631" s="12" t="s">
        <v>3337</v>
      </c>
      <c r="D631" s="12" t="s">
        <v>3338</v>
      </c>
      <c r="E631" s="12" t="s">
        <v>3339</v>
      </c>
      <c r="F631" s="12" t="s">
        <v>76</v>
      </c>
      <c r="G631" s="12" t="s">
        <v>257</v>
      </c>
      <c r="H631" s="12" t="s">
        <v>3340</v>
      </c>
      <c r="I631" s="11" t="s">
        <v>37</v>
      </c>
      <c r="J631" s="8"/>
      <c r="K631" s="8" t="s">
        <v>79</v>
      </c>
      <c r="L631" s="9"/>
      <c r="M631" s="9"/>
      <c r="N631" s="8"/>
      <c r="O631" s="10"/>
    </row>
    <row r="632" spans="1:15" ht="26.4" x14ac:dyDescent="0.3">
      <c r="A632" s="6" t="s">
        <v>3341</v>
      </c>
      <c r="B632" s="7" t="s">
        <v>277</v>
      </c>
      <c r="C632" s="7" t="s">
        <v>3342</v>
      </c>
      <c r="D632" s="7" t="s">
        <v>3343</v>
      </c>
      <c r="E632" s="7" t="s">
        <v>3344</v>
      </c>
      <c r="F632" s="7" t="s">
        <v>76</v>
      </c>
      <c r="G632" s="7" t="s">
        <v>3345</v>
      </c>
      <c r="H632" s="7" t="s">
        <v>3346</v>
      </c>
      <c r="I632" s="6" t="s">
        <v>37</v>
      </c>
      <c r="J632" s="8"/>
      <c r="K632" s="8" t="s">
        <v>79</v>
      </c>
      <c r="L632" s="9"/>
      <c r="M632" s="9"/>
      <c r="N632" s="8"/>
      <c r="O632" s="10"/>
    </row>
    <row r="633" spans="1:15" ht="26.4" x14ac:dyDescent="0.3">
      <c r="A633" s="11" t="s">
        <v>3347</v>
      </c>
      <c r="B633" s="12" t="s">
        <v>277</v>
      </c>
      <c r="C633" s="12" t="s">
        <v>3348</v>
      </c>
      <c r="D633" s="12" t="s">
        <v>3349</v>
      </c>
      <c r="E633" s="12" t="s">
        <v>3350</v>
      </c>
      <c r="F633" s="12" t="s">
        <v>76</v>
      </c>
      <c r="G633" s="12" t="s">
        <v>3345</v>
      </c>
      <c r="H633" s="12" t="s">
        <v>3351</v>
      </c>
      <c r="I633" s="11" t="s">
        <v>37</v>
      </c>
      <c r="J633" s="8"/>
      <c r="K633" s="8" t="s">
        <v>79</v>
      </c>
      <c r="L633" s="9"/>
      <c r="M633" s="9"/>
      <c r="N633" s="8"/>
      <c r="O633" s="10"/>
    </row>
    <row r="634" spans="1:15" ht="26.4" x14ac:dyDescent="0.3">
      <c r="A634" s="6" t="s">
        <v>3352</v>
      </c>
      <c r="B634" s="7" t="s">
        <v>277</v>
      </c>
      <c r="C634" s="7" t="s">
        <v>3135</v>
      </c>
      <c r="D634" s="7" t="s">
        <v>3353</v>
      </c>
      <c r="E634" s="7" t="s">
        <v>3354</v>
      </c>
      <c r="F634" s="7" t="s">
        <v>2238</v>
      </c>
      <c r="G634" s="7" t="s">
        <v>3355</v>
      </c>
      <c r="H634" s="7" t="s">
        <v>3356</v>
      </c>
      <c r="I634" s="6" t="s">
        <v>37</v>
      </c>
      <c r="J634" s="8"/>
      <c r="K634" s="8" t="s">
        <v>79</v>
      </c>
      <c r="L634" s="9"/>
      <c r="M634" s="9"/>
      <c r="N634" s="8"/>
      <c r="O634" s="10"/>
    </row>
    <row r="635" spans="1:15" ht="39.6" x14ac:dyDescent="0.3">
      <c r="A635" s="11" t="s">
        <v>3357</v>
      </c>
      <c r="B635" s="12" t="s">
        <v>277</v>
      </c>
      <c r="C635" s="12" t="s">
        <v>3135</v>
      </c>
      <c r="D635" s="12" t="s">
        <v>3358</v>
      </c>
      <c r="E635" s="12" t="s">
        <v>3359</v>
      </c>
      <c r="F635" s="12" t="s">
        <v>2238</v>
      </c>
      <c r="G635" s="12" t="s">
        <v>3360</v>
      </c>
      <c r="H635" s="12" t="s">
        <v>3361</v>
      </c>
      <c r="I635" s="11" t="s">
        <v>37</v>
      </c>
      <c r="J635" s="8"/>
      <c r="K635" s="8" t="s">
        <v>79</v>
      </c>
      <c r="L635" s="9"/>
      <c r="M635" s="9"/>
      <c r="N635" s="8"/>
      <c r="O635" s="10"/>
    </row>
    <row r="636" spans="1:15" ht="26.4" x14ac:dyDescent="0.3">
      <c r="A636" s="6" t="s">
        <v>3362</v>
      </c>
      <c r="B636" s="7" t="s">
        <v>277</v>
      </c>
      <c r="C636" s="7" t="s">
        <v>3135</v>
      </c>
      <c r="D636" s="7" t="s">
        <v>3363</v>
      </c>
      <c r="E636" s="7" t="s">
        <v>3364</v>
      </c>
      <c r="F636" s="7" t="s">
        <v>2238</v>
      </c>
      <c r="G636" s="7" t="s">
        <v>3365</v>
      </c>
      <c r="H636" s="7" t="s">
        <v>3366</v>
      </c>
      <c r="I636" s="6" t="s">
        <v>37</v>
      </c>
      <c r="J636" s="8"/>
      <c r="K636" s="8" t="s">
        <v>79</v>
      </c>
      <c r="L636" s="9"/>
      <c r="M636" s="9"/>
      <c r="N636" s="8"/>
      <c r="O636" s="10"/>
    </row>
    <row r="637" spans="1:15" ht="26.4" x14ac:dyDescent="0.3">
      <c r="A637" s="11" t="s">
        <v>3367</v>
      </c>
      <c r="B637" s="12" t="s">
        <v>277</v>
      </c>
      <c r="C637" s="12" t="s">
        <v>3135</v>
      </c>
      <c r="D637" s="12" t="s">
        <v>3368</v>
      </c>
      <c r="E637" s="12" t="s">
        <v>3369</v>
      </c>
      <c r="F637" s="12" t="s">
        <v>2238</v>
      </c>
      <c r="G637" s="12" t="s">
        <v>3370</v>
      </c>
      <c r="H637" s="12" t="s">
        <v>3371</v>
      </c>
      <c r="I637" s="11" t="s">
        <v>37</v>
      </c>
      <c r="J637" s="8"/>
      <c r="K637" s="8" t="s">
        <v>79</v>
      </c>
      <c r="L637" s="9"/>
      <c r="M637" s="9"/>
      <c r="N637" s="8"/>
      <c r="O637" s="10"/>
    </row>
    <row r="638" spans="1:15" ht="26.4" x14ac:dyDescent="0.3">
      <c r="A638" s="6" t="s">
        <v>3372</v>
      </c>
      <c r="B638" s="7" t="s">
        <v>277</v>
      </c>
      <c r="C638" s="7" t="s">
        <v>3135</v>
      </c>
      <c r="D638" s="7" t="s">
        <v>3373</v>
      </c>
      <c r="E638" s="7" t="s">
        <v>3374</v>
      </c>
      <c r="F638" s="7" t="s">
        <v>2238</v>
      </c>
      <c r="G638" s="7" t="s">
        <v>3148</v>
      </c>
      <c r="H638" s="7" t="s">
        <v>3375</v>
      </c>
      <c r="I638" s="6" t="s">
        <v>37</v>
      </c>
      <c r="J638" s="8"/>
      <c r="K638" s="8" t="s">
        <v>79</v>
      </c>
      <c r="L638" s="9"/>
      <c r="M638" s="9"/>
      <c r="N638" s="8"/>
      <c r="O638" s="10"/>
    </row>
    <row r="639" spans="1:15" ht="26.4" x14ac:dyDescent="0.3">
      <c r="A639" s="11" t="s">
        <v>3376</v>
      </c>
      <c r="B639" s="12" t="s">
        <v>277</v>
      </c>
      <c r="C639" s="12" t="s">
        <v>3135</v>
      </c>
      <c r="D639" s="12" t="s">
        <v>3377</v>
      </c>
      <c r="E639" s="12" t="s">
        <v>3378</v>
      </c>
      <c r="F639" s="12" t="s">
        <v>2238</v>
      </c>
      <c r="G639" s="12" t="s">
        <v>3379</v>
      </c>
      <c r="H639" s="12" t="s">
        <v>3380</v>
      </c>
      <c r="I639" s="11" t="s">
        <v>37</v>
      </c>
      <c r="J639" s="8"/>
      <c r="K639" s="8" t="s">
        <v>79</v>
      </c>
      <c r="L639" s="9"/>
      <c r="M639" s="9"/>
      <c r="N639" s="8"/>
      <c r="O639" s="10"/>
    </row>
    <row r="640" spans="1:15" ht="39.6" x14ac:dyDescent="0.3">
      <c r="A640" s="6" t="s">
        <v>3381</v>
      </c>
      <c r="B640" s="7" t="s">
        <v>277</v>
      </c>
      <c r="C640" s="7" t="s">
        <v>3135</v>
      </c>
      <c r="D640" s="7" t="s">
        <v>3382</v>
      </c>
      <c r="E640" s="7" t="s">
        <v>3383</v>
      </c>
      <c r="F640" s="7" t="s">
        <v>2238</v>
      </c>
      <c r="G640" s="7" t="s">
        <v>3384</v>
      </c>
      <c r="H640" s="7" t="s">
        <v>3385</v>
      </c>
      <c r="I640" s="6" t="s">
        <v>37</v>
      </c>
      <c r="J640" s="8"/>
      <c r="K640" s="8" t="s">
        <v>79</v>
      </c>
      <c r="L640" s="9"/>
      <c r="M640" s="9"/>
      <c r="N640" s="8"/>
      <c r="O640" s="10"/>
    </row>
    <row r="641" spans="1:15" ht="26.4" x14ac:dyDescent="0.3">
      <c r="A641" s="11" t="s">
        <v>3386</v>
      </c>
      <c r="B641" s="12" t="s">
        <v>277</v>
      </c>
      <c r="C641" s="12" t="s">
        <v>3135</v>
      </c>
      <c r="D641" s="12" t="s">
        <v>3387</v>
      </c>
      <c r="E641" s="12" t="s">
        <v>3388</v>
      </c>
      <c r="F641" s="12" t="s">
        <v>2238</v>
      </c>
      <c r="G641" s="12" t="s">
        <v>3389</v>
      </c>
      <c r="H641" s="12" t="s">
        <v>3390</v>
      </c>
      <c r="I641" s="11" t="s">
        <v>37</v>
      </c>
      <c r="J641" s="8"/>
      <c r="K641" s="8" t="s">
        <v>79</v>
      </c>
      <c r="L641" s="9"/>
      <c r="M641" s="9"/>
      <c r="N641" s="8"/>
      <c r="O641" s="10"/>
    </row>
    <row r="642" spans="1:15" ht="39.6" x14ac:dyDescent="0.3">
      <c r="A642" s="6" t="s">
        <v>3391</v>
      </c>
      <c r="B642" s="7" t="s">
        <v>3392</v>
      </c>
      <c r="C642" s="7" t="s">
        <v>3393</v>
      </c>
      <c r="D642" s="7" t="s">
        <v>3394</v>
      </c>
      <c r="E642" s="7" t="s">
        <v>3395</v>
      </c>
      <c r="F642" s="7" t="s">
        <v>76</v>
      </c>
      <c r="G642" s="7" t="s">
        <v>3396</v>
      </c>
      <c r="H642" s="7" t="s">
        <v>857</v>
      </c>
      <c r="I642" s="6" t="s">
        <v>37</v>
      </c>
      <c r="J642" s="8"/>
      <c r="K642" s="8" t="s">
        <v>79</v>
      </c>
      <c r="L642" s="9"/>
      <c r="M642" s="9"/>
      <c r="N642" s="8"/>
      <c r="O642" s="10"/>
    </row>
    <row r="643" spans="1:15" ht="39.6" x14ac:dyDescent="0.3">
      <c r="A643" s="11" t="s">
        <v>3397</v>
      </c>
      <c r="B643" s="12" t="s">
        <v>3392</v>
      </c>
      <c r="C643" s="12" t="s">
        <v>3398</v>
      </c>
      <c r="D643" s="12" t="s">
        <v>3399</v>
      </c>
      <c r="E643" s="12" t="s">
        <v>3400</v>
      </c>
      <c r="F643" s="12" t="s">
        <v>2238</v>
      </c>
      <c r="G643" s="12" t="s">
        <v>3401</v>
      </c>
      <c r="H643" s="12" t="s">
        <v>3402</v>
      </c>
      <c r="I643" s="11" t="s">
        <v>37</v>
      </c>
      <c r="J643" s="8"/>
      <c r="K643" s="8" t="s">
        <v>79</v>
      </c>
      <c r="L643" s="9"/>
      <c r="M643" s="9"/>
      <c r="N643" s="8"/>
      <c r="O643" s="10"/>
    </row>
    <row r="644" spans="1:15" ht="52.8" x14ac:dyDescent="0.3">
      <c r="A644" s="6" t="s">
        <v>3403</v>
      </c>
      <c r="B644" s="7" t="s">
        <v>3392</v>
      </c>
      <c r="C644" s="7" t="s">
        <v>3404</v>
      </c>
      <c r="D644" s="7" t="s">
        <v>3405</v>
      </c>
      <c r="E644" s="7" t="s">
        <v>3406</v>
      </c>
      <c r="F644" s="7" t="s">
        <v>2133</v>
      </c>
      <c r="G644" s="7" t="s">
        <v>3407</v>
      </c>
      <c r="H644" s="7" t="s">
        <v>3408</v>
      </c>
      <c r="I644" s="6" t="s">
        <v>37</v>
      </c>
      <c r="J644" s="8"/>
      <c r="K644" s="8" t="s">
        <v>79</v>
      </c>
      <c r="L644" s="9"/>
      <c r="M644" s="9"/>
      <c r="N644" s="8"/>
      <c r="O644" s="10"/>
    </row>
    <row r="645" spans="1:15" ht="26.4" x14ac:dyDescent="0.3">
      <c r="A645" s="11" t="s">
        <v>3409</v>
      </c>
      <c r="B645" s="12" t="s">
        <v>3281</v>
      </c>
      <c r="C645" s="12" t="s">
        <v>3410</v>
      </c>
      <c r="D645" s="12" t="s">
        <v>3411</v>
      </c>
      <c r="E645" s="12" t="s">
        <v>3412</v>
      </c>
      <c r="F645" s="12" t="s">
        <v>76</v>
      </c>
      <c r="G645" s="12" t="s">
        <v>77</v>
      </c>
      <c r="H645" s="12" t="s">
        <v>3413</v>
      </c>
      <c r="I645" s="11" t="s">
        <v>37</v>
      </c>
      <c r="J645" s="8"/>
      <c r="K645" s="8" t="s">
        <v>79</v>
      </c>
      <c r="L645" s="9"/>
      <c r="M645" s="9"/>
      <c r="N645" s="8"/>
      <c r="O645" s="10"/>
    </row>
    <row r="646" spans="1:15" ht="26.4" x14ac:dyDescent="0.3">
      <c r="A646" s="6" t="s">
        <v>3414</v>
      </c>
      <c r="B646" s="7" t="s">
        <v>3281</v>
      </c>
      <c r="C646" s="7" t="s">
        <v>3410</v>
      </c>
      <c r="D646" s="7" t="s">
        <v>3415</v>
      </c>
      <c r="E646" s="7" t="s">
        <v>3416</v>
      </c>
      <c r="F646" s="7" t="s">
        <v>76</v>
      </c>
      <c r="G646" s="7" t="s">
        <v>77</v>
      </c>
      <c r="H646" s="7" t="s">
        <v>3417</v>
      </c>
      <c r="I646" s="6" t="s">
        <v>37</v>
      </c>
      <c r="J646" s="8"/>
      <c r="K646" s="8" t="s">
        <v>79</v>
      </c>
      <c r="L646" s="9"/>
      <c r="M646" s="9"/>
      <c r="N646" s="8"/>
      <c r="O646" s="10"/>
    </row>
    <row r="647" spans="1:15" ht="26.4" x14ac:dyDescent="0.3">
      <c r="A647" s="11" t="s">
        <v>3418</v>
      </c>
      <c r="B647" s="12" t="s">
        <v>3281</v>
      </c>
      <c r="C647" s="12" t="s">
        <v>3410</v>
      </c>
      <c r="D647" s="12" t="s">
        <v>3419</v>
      </c>
      <c r="E647" s="12" t="s">
        <v>3420</v>
      </c>
      <c r="F647" s="12" t="s">
        <v>76</v>
      </c>
      <c r="G647" s="12" t="s">
        <v>3421</v>
      </c>
      <c r="H647" s="12" t="s">
        <v>3422</v>
      </c>
      <c r="I647" s="11" t="s">
        <v>37</v>
      </c>
      <c r="J647" s="8"/>
      <c r="K647" s="8" t="s">
        <v>79</v>
      </c>
      <c r="L647" s="9"/>
      <c r="M647" s="9"/>
      <c r="N647" s="8"/>
      <c r="O647" s="10"/>
    </row>
    <row r="648" spans="1:15" ht="26.4" x14ac:dyDescent="0.3">
      <c r="A648" s="6" t="s">
        <v>3423</v>
      </c>
      <c r="B648" s="7" t="s">
        <v>3281</v>
      </c>
      <c r="C648" s="7" t="s">
        <v>3410</v>
      </c>
      <c r="D648" s="7" t="s">
        <v>3424</v>
      </c>
      <c r="E648" s="7" t="s">
        <v>3425</v>
      </c>
      <c r="F648" s="7" t="s">
        <v>76</v>
      </c>
      <c r="G648" s="7" t="s">
        <v>77</v>
      </c>
      <c r="H648" s="7" t="s">
        <v>3426</v>
      </c>
      <c r="I648" s="6" t="s">
        <v>37</v>
      </c>
      <c r="J648" s="8"/>
      <c r="K648" s="8" t="s">
        <v>79</v>
      </c>
      <c r="L648" s="9"/>
      <c r="M648" s="9"/>
      <c r="N648" s="8"/>
      <c r="O648" s="10"/>
    </row>
    <row r="649" spans="1:15" ht="52.8" x14ac:dyDescent="0.3">
      <c r="A649" s="11" t="s">
        <v>3427</v>
      </c>
      <c r="B649" s="12" t="s">
        <v>3281</v>
      </c>
      <c r="C649" s="12" t="s">
        <v>3428</v>
      </c>
      <c r="D649" s="12" t="s">
        <v>3429</v>
      </c>
      <c r="E649" s="12" t="s">
        <v>3430</v>
      </c>
      <c r="F649" s="12" t="s">
        <v>48</v>
      </c>
      <c r="G649" s="12" t="s">
        <v>3431</v>
      </c>
      <c r="H649" s="12" t="s">
        <v>3432</v>
      </c>
      <c r="I649" s="11" t="s">
        <v>37</v>
      </c>
      <c r="J649" s="8"/>
      <c r="K649" s="8" t="s">
        <v>79</v>
      </c>
      <c r="L649" s="9"/>
      <c r="M649" s="9"/>
      <c r="N649" s="8"/>
      <c r="O649" s="10"/>
    </row>
    <row r="650" spans="1:15" ht="39.6" x14ac:dyDescent="0.3">
      <c r="A650" s="6" t="s">
        <v>3433</v>
      </c>
      <c r="B650" s="7" t="s">
        <v>3281</v>
      </c>
      <c r="C650" s="7" t="s">
        <v>3428</v>
      </c>
      <c r="D650" s="7" t="s">
        <v>3434</v>
      </c>
      <c r="E650" s="7" t="s">
        <v>3435</v>
      </c>
      <c r="F650" s="7" t="s">
        <v>48</v>
      </c>
      <c r="G650" s="7" t="s">
        <v>3436</v>
      </c>
      <c r="H650" s="7" t="s">
        <v>3437</v>
      </c>
      <c r="I650" s="6" t="s">
        <v>37</v>
      </c>
      <c r="J650" s="8"/>
      <c r="K650" s="8" t="s">
        <v>79</v>
      </c>
      <c r="L650" s="9"/>
      <c r="M650" s="9"/>
      <c r="N650" s="8"/>
      <c r="O650" s="10"/>
    </row>
    <row r="651" spans="1:15" ht="39.6" x14ac:dyDescent="0.3">
      <c r="A651" s="11" t="s">
        <v>3438</v>
      </c>
      <c r="B651" s="12" t="s">
        <v>3281</v>
      </c>
      <c r="C651" s="12" t="s">
        <v>3439</v>
      </c>
      <c r="D651" s="12" t="s">
        <v>3440</v>
      </c>
      <c r="E651" s="12" t="s">
        <v>3441</v>
      </c>
      <c r="F651" s="12" t="s">
        <v>48</v>
      </c>
      <c r="G651" s="12" t="s">
        <v>3442</v>
      </c>
      <c r="H651" s="12" t="s">
        <v>3443</v>
      </c>
      <c r="I651" s="11" t="s">
        <v>37</v>
      </c>
      <c r="J651" s="8"/>
      <c r="K651" s="8" t="s">
        <v>79</v>
      </c>
      <c r="L651" s="9"/>
      <c r="M651" s="9"/>
      <c r="N651" s="8"/>
      <c r="O651" s="10"/>
    </row>
    <row r="652" spans="1:15" ht="39.6" x14ac:dyDescent="0.3">
      <c r="A652" s="6" t="s">
        <v>3444</v>
      </c>
      <c r="B652" s="7" t="s">
        <v>3281</v>
      </c>
      <c r="C652" s="7" t="s">
        <v>3439</v>
      </c>
      <c r="D652" s="7" t="s">
        <v>3445</v>
      </c>
      <c r="E652" s="7" t="s">
        <v>3446</v>
      </c>
      <c r="F652" s="7" t="s">
        <v>48</v>
      </c>
      <c r="G652" s="7" t="s">
        <v>77</v>
      </c>
      <c r="H652" s="7" t="s">
        <v>3447</v>
      </c>
      <c r="I652" s="6" t="s">
        <v>37</v>
      </c>
      <c r="J652" s="8"/>
      <c r="K652" s="8" t="s">
        <v>79</v>
      </c>
      <c r="L652" s="9"/>
      <c r="M652" s="9"/>
      <c r="N652" s="8"/>
      <c r="O652" s="10"/>
    </row>
    <row r="653" spans="1:15" ht="52.8" x14ac:dyDescent="0.3">
      <c r="A653" s="11" t="s">
        <v>3448</v>
      </c>
      <c r="B653" s="12" t="s">
        <v>3281</v>
      </c>
      <c r="C653" s="12" t="s">
        <v>3439</v>
      </c>
      <c r="D653" s="12" t="s">
        <v>3449</v>
      </c>
      <c r="E653" s="12" t="s">
        <v>3450</v>
      </c>
      <c r="F653" s="12" t="s">
        <v>48</v>
      </c>
      <c r="G653" s="12" t="s">
        <v>3451</v>
      </c>
      <c r="H653" s="12" t="s">
        <v>3452</v>
      </c>
      <c r="I653" s="11" t="s">
        <v>37</v>
      </c>
      <c r="J653" s="8"/>
      <c r="K653" s="8" t="s">
        <v>79</v>
      </c>
      <c r="L653" s="9"/>
      <c r="M653" s="9"/>
      <c r="N653" s="8"/>
      <c r="O653" s="10"/>
    </row>
    <row r="654" spans="1:15" ht="52.8" x14ac:dyDescent="0.3">
      <c r="A654" s="6" t="s">
        <v>3453</v>
      </c>
      <c r="B654" s="7" t="s">
        <v>3281</v>
      </c>
      <c r="C654" s="7" t="s">
        <v>3454</v>
      </c>
      <c r="D654" s="7" t="s">
        <v>3455</v>
      </c>
      <c r="E654" s="7" t="s">
        <v>3456</v>
      </c>
      <c r="F654" s="7" t="s">
        <v>48</v>
      </c>
      <c r="G654" s="7" t="s">
        <v>3457</v>
      </c>
      <c r="H654" s="7" t="s">
        <v>3458</v>
      </c>
      <c r="I654" s="6" t="s">
        <v>37</v>
      </c>
      <c r="J654" s="8"/>
      <c r="K654" s="8" t="s">
        <v>79</v>
      </c>
      <c r="L654" s="9"/>
      <c r="M654" s="9"/>
      <c r="N654" s="8"/>
      <c r="O654" s="10"/>
    </row>
    <row r="655" spans="1:15" ht="39.6" x14ac:dyDescent="0.3">
      <c r="A655" s="11" t="s">
        <v>3459</v>
      </c>
      <c r="B655" s="12" t="s">
        <v>3281</v>
      </c>
      <c r="C655" s="12" t="s">
        <v>3454</v>
      </c>
      <c r="D655" s="12" t="s">
        <v>3460</v>
      </c>
      <c r="E655" s="12" t="s">
        <v>3461</v>
      </c>
      <c r="F655" s="12" t="s">
        <v>48</v>
      </c>
      <c r="G655" s="12" t="s">
        <v>3462</v>
      </c>
      <c r="H655" s="12" t="s">
        <v>3463</v>
      </c>
      <c r="I655" s="11" t="s">
        <v>37</v>
      </c>
      <c r="J655" s="8"/>
      <c r="K655" s="8" t="s">
        <v>79</v>
      </c>
      <c r="L655" s="9"/>
      <c r="M655" s="9"/>
      <c r="N655" s="8"/>
      <c r="O655" s="10"/>
    </row>
    <row r="656" spans="1:15" ht="52.8" x14ac:dyDescent="0.3">
      <c r="A656" s="6" t="s">
        <v>3464</v>
      </c>
      <c r="B656" s="7" t="s">
        <v>3281</v>
      </c>
      <c r="C656" s="7" t="s">
        <v>3410</v>
      </c>
      <c r="D656" s="7" t="s">
        <v>3465</v>
      </c>
      <c r="E656" s="7" t="s">
        <v>3466</v>
      </c>
      <c r="F656" s="7" t="s">
        <v>3467</v>
      </c>
      <c r="G656" s="7" t="s">
        <v>77</v>
      </c>
      <c r="H656" s="7" t="s">
        <v>3468</v>
      </c>
      <c r="I656" s="6" t="s">
        <v>37</v>
      </c>
      <c r="J656" s="8"/>
      <c r="K656" s="8" t="s">
        <v>79</v>
      </c>
      <c r="L656" s="9"/>
      <c r="M656" s="9"/>
      <c r="N656" s="8"/>
      <c r="O656" s="10"/>
    </row>
    <row r="657" spans="1:15" ht="52.8" x14ac:dyDescent="0.3">
      <c r="A657" s="11" t="s">
        <v>3469</v>
      </c>
      <c r="B657" s="12" t="s">
        <v>3281</v>
      </c>
      <c r="C657" s="12" t="s">
        <v>3470</v>
      </c>
      <c r="D657" s="12" t="s">
        <v>2726</v>
      </c>
      <c r="E657" s="12" t="s">
        <v>3471</v>
      </c>
      <c r="F657" s="12" t="s">
        <v>48</v>
      </c>
      <c r="G657" s="12" t="s">
        <v>3472</v>
      </c>
      <c r="H657" s="12" t="s">
        <v>3473</v>
      </c>
      <c r="I657" s="11" t="s">
        <v>37</v>
      </c>
      <c r="J657" s="8"/>
      <c r="K657" s="8" t="s">
        <v>79</v>
      </c>
      <c r="L657" s="9"/>
      <c r="M657" s="9"/>
      <c r="N657" s="8"/>
      <c r="O657" s="10"/>
    </row>
    <row r="658" spans="1:15" ht="66" x14ac:dyDescent="0.3">
      <c r="A658" s="6" t="s">
        <v>3474</v>
      </c>
      <c r="B658" s="7" t="s">
        <v>3281</v>
      </c>
      <c r="C658" s="7" t="s">
        <v>3470</v>
      </c>
      <c r="D658" s="7" t="s">
        <v>3475</v>
      </c>
      <c r="E658" s="7" t="s">
        <v>3476</v>
      </c>
      <c r="F658" s="7" t="s">
        <v>48</v>
      </c>
      <c r="G658" s="7" t="s">
        <v>3477</v>
      </c>
      <c r="H658" s="7" t="s">
        <v>3478</v>
      </c>
      <c r="I658" s="6" t="s">
        <v>37</v>
      </c>
      <c r="J658" s="8"/>
      <c r="K658" s="8" t="s">
        <v>79</v>
      </c>
      <c r="L658" s="9"/>
      <c r="M658" s="9"/>
      <c r="N658" s="8"/>
      <c r="O658" s="10"/>
    </row>
    <row r="659" spans="1:15" ht="39.6" x14ac:dyDescent="0.3">
      <c r="A659" s="11" t="s">
        <v>3479</v>
      </c>
      <c r="B659" s="12" t="s">
        <v>3281</v>
      </c>
      <c r="C659" s="12" t="s">
        <v>3470</v>
      </c>
      <c r="D659" s="12" t="s">
        <v>2735</v>
      </c>
      <c r="E659" s="12" t="s">
        <v>3480</v>
      </c>
      <c r="F659" s="12" t="s">
        <v>48</v>
      </c>
      <c r="G659" s="12" t="s">
        <v>3481</v>
      </c>
      <c r="H659" s="12" t="s">
        <v>3482</v>
      </c>
      <c r="I659" s="11" t="s">
        <v>37</v>
      </c>
      <c r="J659" s="8"/>
      <c r="K659" s="8" t="s">
        <v>79</v>
      </c>
      <c r="L659" s="9"/>
      <c r="M659" s="9"/>
      <c r="N659" s="8"/>
      <c r="O659" s="10"/>
    </row>
    <row r="660" spans="1:15" ht="39.6" x14ac:dyDescent="0.3">
      <c r="A660" s="6" t="s">
        <v>3483</v>
      </c>
      <c r="B660" s="7" t="s">
        <v>3281</v>
      </c>
      <c r="C660" s="7" t="s">
        <v>3484</v>
      </c>
      <c r="D660" s="7" t="s">
        <v>3485</v>
      </c>
      <c r="E660" s="7" t="s">
        <v>3486</v>
      </c>
      <c r="F660" s="7" t="s">
        <v>48</v>
      </c>
      <c r="G660" s="7" t="s">
        <v>3487</v>
      </c>
      <c r="H660" s="7" t="s">
        <v>3488</v>
      </c>
      <c r="I660" s="6" t="s">
        <v>45</v>
      </c>
      <c r="J660" s="8"/>
      <c r="K660" s="8" t="s">
        <v>275</v>
      </c>
      <c r="L660" s="9"/>
      <c r="M660" s="9"/>
      <c r="N660" s="8"/>
      <c r="O660" s="10"/>
    </row>
    <row r="661" spans="1:15" ht="52.8" x14ac:dyDescent="0.3">
      <c r="A661" s="11" t="s">
        <v>3489</v>
      </c>
      <c r="B661" s="12" t="s">
        <v>3281</v>
      </c>
      <c r="C661" s="12" t="s">
        <v>3490</v>
      </c>
      <c r="D661" s="12" t="s">
        <v>3491</v>
      </c>
      <c r="E661" s="12" t="s">
        <v>3492</v>
      </c>
      <c r="F661" s="12" t="s">
        <v>3493</v>
      </c>
      <c r="G661" s="12" t="s">
        <v>3494</v>
      </c>
      <c r="H661" s="12" t="s">
        <v>3495</v>
      </c>
      <c r="I661" s="11" t="s">
        <v>37</v>
      </c>
      <c r="J661" s="8"/>
      <c r="K661" s="8" t="s">
        <v>79</v>
      </c>
      <c r="L661" s="9"/>
      <c r="M661" s="9"/>
      <c r="N661" s="8"/>
      <c r="O661" s="10"/>
    </row>
    <row r="662" spans="1:15" ht="39.6" x14ac:dyDescent="0.3">
      <c r="A662" s="6" t="s">
        <v>3496</v>
      </c>
      <c r="B662" s="7" t="s">
        <v>3281</v>
      </c>
      <c r="C662" s="7" t="s">
        <v>3497</v>
      </c>
      <c r="D662" s="7" t="s">
        <v>3498</v>
      </c>
      <c r="E662" s="7" t="s">
        <v>3499</v>
      </c>
      <c r="F662" s="7" t="s">
        <v>3500</v>
      </c>
      <c r="G662" s="7" t="s">
        <v>3501</v>
      </c>
      <c r="H662" s="7" t="s">
        <v>3502</v>
      </c>
      <c r="I662" s="6" t="s">
        <v>37</v>
      </c>
      <c r="J662" s="8"/>
      <c r="K662" s="8" t="s">
        <v>79</v>
      </c>
      <c r="L662" s="9"/>
      <c r="M662" s="9"/>
      <c r="N662" s="8"/>
      <c r="O662" s="10"/>
    </row>
    <row r="663" spans="1:15" ht="39.6" x14ac:dyDescent="0.3">
      <c r="A663" s="11" t="s">
        <v>3503</v>
      </c>
      <c r="B663" s="12" t="s">
        <v>3504</v>
      </c>
      <c r="C663" s="12" t="s">
        <v>3505</v>
      </c>
      <c r="D663" s="12" t="s">
        <v>3506</v>
      </c>
      <c r="E663" s="12" t="s">
        <v>3507</v>
      </c>
      <c r="F663" s="12" t="s">
        <v>76</v>
      </c>
      <c r="G663" s="12" t="s">
        <v>3508</v>
      </c>
      <c r="H663" s="12" t="s">
        <v>3509</v>
      </c>
      <c r="I663" s="11" t="s">
        <v>37</v>
      </c>
      <c r="J663" s="8"/>
      <c r="K663" s="8" t="s">
        <v>79</v>
      </c>
      <c r="L663" s="9"/>
      <c r="M663" s="9"/>
      <c r="N663" s="8"/>
      <c r="O663" s="10"/>
    </row>
    <row r="664" spans="1:15" ht="52.8" x14ac:dyDescent="0.3">
      <c r="A664" s="6" t="s">
        <v>3510</v>
      </c>
      <c r="B664" s="7" t="s">
        <v>3504</v>
      </c>
      <c r="C664" s="7" t="s">
        <v>3505</v>
      </c>
      <c r="D664" s="7" t="s">
        <v>3511</v>
      </c>
      <c r="E664" s="7" t="s">
        <v>3512</v>
      </c>
      <c r="F664" s="7" t="s">
        <v>76</v>
      </c>
      <c r="G664" s="7" t="s">
        <v>3513</v>
      </c>
      <c r="H664" s="7" t="s">
        <v>3514</v>
      </c>
      <c r="I664" s="6" t="s">
        <v>37</v>
      </c>
      <c r="J664" s="8"/>
      <c r="K664" s="8" t="s">
        <v>79</v>
      </c>
      <c r="L664" s="9"/>
      <c r="M664" s="9"/>
      <c r="N664" s="8"/>
      <c r="O664" s="10"/>
    </row>
    <row r="665" spans="1:15" ht="26.4" x14ac:dyDescent="0.3">
      <c r="A665" s="11" t="s">
        <v>3515</v>
      </c>
      <c r="B665" s="12" t="s">
        <v>3504</v>
      </c>
      <c r="C665" s="12" t="s">
        <v>3505</v>
      </c>
      <c r="D665" s="12" t="s">
        <v>3516</v>
      </c>
      <c r="E665" s="12" t="s">
        <v>3517</v>
      </c>
      <c r="F665" s="12" t="s">
        <v>272</v>
      </c>
      <c r="G665" s="12" t="s">
        <v>3518</v>
      </c>
      <c r="H665" s="12" t="s">
        <v>3519</v>
      </c>
      <c r="I665" s="11" t="s">
        <v>45</v>
      </c>
      <c r="J665" s="8"/>
      <c r="K665" s="8" t="s">
        <v>275</v>
      </c>
      <c r="L665" s="9"/>
      <c r="M665" s="9"/>
      <c r="N665" s="8"/>
      <c r="O665" s="10"/>
    </row>
    <row r="666" spans="1:15" ht="26.4" x14ac:dyDescent="0.3">
      <c r="A666" s="6" t="s">
        <v>3520</v>
      </c>
      <c r="B666" s="7" t="s">
        <v>3504</v>
      </c>
      <c r="C666" s="7" t="s">
        <v>3521</v>
      </c>
      <c r="D666" s="7" t="s">
        <v>3522</v>
      </c>
      <c r="E666" s="7" t="s">
        <v>3523</v>
      </c>
      <c r="F666" s="7" t="s">
        <v>48</v>
      </c>
      <c r="G666" s="7" t="s">
        <v>3524</v>
      </c>
      <c r="H666" s="7" t="s">
        <v>3525</v>
      </c>
      <c r="I666" s="6" t="s">
        <v>37</v>
      </c>
      <c r="J666" s="8"/>
      <c r="K666" s="8" t="s">
        <v>79</v>
      </c>
      <c r="L666" s="9"/>
      <c r="M666" s="9"/>
      <c r="N666" s="8"/>
      <c r="O666" s="10"/>
    </row>
    <row r="667" spans="1:15" ht="26.4" x14ac:dyDescent="0.3">
      <c r="A667" s="11" t="s">
        <v>3526</v>
      </c>
      <c r="B667" s="12" t="s">
        <v>3504</v>
      </c>
      <c r="C667" s="12" t="s">
        <v>3521</v>
      </c>
      <c r="D667" s="12" t="s">
        <v>3527</v>
      </c>
      <c r="E667" s="12" t="s">
        <v>3528</v>
      </c>
      <c r="F667" s="12" t="s">
        <v>48</v>
      </c>
      <c r="G667" s="12" t="s">
        <v>3529</v>
      </c>
      <c r="H667" s="12" t="s">
        <v>3530</v>
      </c>
      <c r="I667" s="11" t="s">
        <v>37</v>
      </c>
      <c r="J667" s="8"/>
      <c r="K667" s="8" t="s">
        <v>79</v>
      </c>
      <c r="L667" s="9"/>
      <c r="M667" s="9"/>
      <c r="N667" s="8"/>
      <c r="O667" s="10"/>
    </row>
    <row r="668" spans="1:15" ht="52.8" x14ac:dyDescent="0.3">
      <c r="A668" s="6" t="s">
        <v>3531</v>
      </c>
      <c r="B668" s="7" t="s">
        <v>3504</v>
      </c>
      <c r="C668" s="7" t="s">
        <v>3521</v>
      </c>
      <c r="D668" s="7" t="s">
        <v>3532</v>
      </c>
      <c r="E668" s="7" t="s">
        <v>3533</v>
      </c>
      <c r="F668" s="7" t="s">
        <v>48</v>
      </c>
      <c r="G668" s="7" t="s">
        <v>3534</v>
      </c>
      <c r="H668" s="7" t="s">
        <v>3535</v>
      </c>
      <c r="I668" s="6" t="s">
        <v>37</v>
      </c>
      <c r="J668" s="8"/>
      <c r="K668" s="8" t="s">
        <v>79</v>
      </c>
      <c r="L668" s="9"/>
      <c r="M668" s="9"/>
      <c r="N668" s="8"/>
      <c r="O668" s="10"/>
    </row>
    <row r="669" spans="1:15" ht="66" x14ac:dyDescent="0.3">
      <c r="A669" s="11" t="s">
        <v>3536</v>
      </c>
      <c r="B669" s="12" t="s">
        <v>3504</v>
      </c>
      <c r="C669" s="12" t="s">
        <v>3521</v>
      </c>
      <c r="D669" s="12" t="s">
        <v>3537</v>
      </c>
      <c r="E669" s="12" t="s">
        <v>3538</v>
      </c>
      <c r="F669" s="12" t="s">
        <v>48</v>
      </c>
      <c r="G669" s="12" t="s">
        <v>3539</v>
      </c>
      <c r="H669" s="12" t="s">
        <v>3540</v>
      </c>
      <c r="I669" s="11" t="s">
        <v>37</v>
      </c>
      <c r="J669" s="8"/>
      <c r="K669" s="8" t="s">
        <v>79</v>
      </c>
      <c r="L669" s="9"/>
      <c r="M669" s="9"/>
      <c r="N669" s="8"/>
      <c r="O669" s="10"/>
    </row>
    <row r="670" spans="1:15" ht="26.4" x14ac:dyDescent="0.3">
      <c r="A670" s="6" t="s">
        <v>3541</v>
      </c>
      <c r="B670" s="7" t="s">
        <v>3504</v>
      </c>
      <c r="C670" s="7" t="s">
        <v>3521</v>
      </c>
      <c r="D670" s="7" t="s">
        <v>3542</v>
      </c>
      <c r="E670" s="7" t="s">
        <v>3543</v>
      </c>
      <c r="F670" s="7" t="s">
        <v>48</v>
      </c>
      <c r="G670" s="7" t="s">
        <v>3544</v>
      </c>
      <c r="H670" s="7" t="s">
        <v>3545</v>
      </c>
      <c r="I670" s="6" t="s">
        <v>37</v>
      </c>
      <c r="J670" s="8"/>
      <c r="K670" s="8" t="s">
        <v>79</v>
      </c>
      <c r="L670" s="9"/>
      <c r="M670" s="9"/>
      <c r="N670" s="8"/>
      <c r="O670" s="10"/>
    </row>
    <row r="671" spans="1:15" ht="26.4" x14ac:dyDescent="0.3">
      <c r="A671" s="11" t="s">
        <v>3546</v>
      </c>
      <c r="B671" s="12" t="s">
        <v>3504</v>
      </c>
      <c r="C671" s="12" t="s">
        <v>3521</v>
      </c>
      <c r="D671" s="12" t="s">
        <v>3547</v>
      </c>
      <c r="E671" s="12" t="s">
        <v>3548</v>
      </c>
      <c r="F671" s="12" t="s">
        <v>48</v>
      </c>
      <c r="G671" s="12" t="s">
        <v>3549</v>
      </c>
      <c r="H671" s="12" t="s">
        <v>3550</v>
      </c>
      <c r="I671" s="11" t="s">
        <v>37</v>
      </c>
      <c r="J671" s="8"/>
      <c r="K671" s="8" t="s">
        <v>79</v>
      </c>
      <c r="L671" s="9"/>
      <c r="M671" s="9"/>
      <c r="N671" s="8"/>
      <c r="O671" s="10"/>
    </row>
    <row r="672" spans="1:15" ht="52.8" x14ac:dyDescent="0.3">
      <c r="A672" s="6" t="s">
        <v>3551</v>
      </c>
      <c r="B672" s="7" t="s">
        <v>3504</v>
      </c>
      <c r="C672" s="7" t="s">
        <v>3521</v>
      </c>
      <c r="D672" s="7" t="s">
        <v>3552</v>
      </c>
      <c r="E672" s="7" t="s">
        <v>3553</v>
      </c>
      <c r="F672" s="7" t="s">
        <v>48</v>
      </c>
      <c r="G672" s="7" t="s">
        <v>3529</v>
      </c>
      <c r="H672" s="7" t="s">
        <v>3554</v>
      </c>
      <c r="I672" s="6" t="s">
        <v>37</v>
      </c>
      <c r="J672" s="8"/>
      <c r="K672" s="8" t="s">
        <v>79</v>
      </c>
      <c r="L672" s="9"/>
      <c r="M672" s="9"/>
      <c r="N672" s="8"/>
      <c r="O672" s="10"/>
    </row>
    <row r="673" spans="1:15" ht="26.4" x14ac:dyDescent="0.3">
      <c r="A673" s="11" t="s">
        <v>3555</v>
      </c>
      <c r="B673" s="12" t="s">
        <v>3504</v>
      </c>
      <c r="C673" s="12" t="s">
        <v>3505</v>
      </c>
      <c r="D673" s="12" t="s">
        <v>3556</v>
      </c>
      <c r="E673" s="12" t="s">
        <v>3557</v>
      </c>
      <c r="F673" s="12" t="s">
        <v>48</v>
      </c>
      <c r="G673" s="12" t="s">
        <v>77</v>
      </c>
      <c r="H673" s="12" t="s">
        <v>3558</v>
      </c>
      <c r="I673" s="11" t="s">
        <v>37</v>
      </c>
      <c r="J673" s="8"/>
      <c r="K673" s="8" t="s">
        <v>79</v>
      </c>
      <c r="L673" s="9"/>
      <c r="M673" s="9"/>
      <c r="N673" s="8"/>
      <c r="O673" s="10"/>
    </row>
    <row r="674" spans="1:15" ht="79.2" x14ac:dyDescent="0.3">
      <c r="A674" s="6" t="s">
        <v>3559</v>
      </c>
      <c r="B674" s="7" t="s">
        <v>3560</v>
      </c>
      <c r="C674" s="7" t="s">
        <v>3561</v>
      </c>
      <c r="D674" s="7" t="s">
        <v>3562</v>
      </c>
      <c r="E674" s="7" t="s">
        <v>3563</v>
      </c>
      <c r="F674" s="7" t="s">
        <v>3564</v>
      </c>
      <c r="G674" s="7" t="s">
        <v>3565</v>
      </c>
      <c r="H674" s="7" t="s">
        <v>3566</v>
      </c>
      <c r="I674" s="6" t="s">
        <v>39</v>
      </c>
      <c r="J674" s="8"/>
      <c r="K674" s="8" t="s">
        <v>79</v>
      </c>
      <c r="L674" s="9"/>
      <c r="M674" s="9"/>
      <c r="N674" s="8"/>
      <c r="O674" s="10"/>
    </row>
    <row r="675" spans="1:15" ht="26.4" x14ac:dyDescent="0.3">
      <c r="A675" s="11" t="s">
        <v>3567</v>
      </c>
      <c r="B675" s="12" t="s">
        <v>3560</v>
      </c>
      <c r="C675" s="12" t="s">
        <v>3561</v>
      </c>
      <c r="D675" s="12" t="s">
        <v>3568</v>
      </c>
      <c r="E675" s="12" t="s">
        <v>3569</v>
      </c>
      <c r="F675" s="12" t="s">
        <v>3564</v>
      </c>
      <c r="G675" s="12" t="s">
        <v>3570</v>
      </c>
      <c r="H675" s="12" t="s">
        <v>3571</v>
      </c>
      <c r="I675" s="11" t="s">
        <v>39</v>
      </c>
      <c r="J675" s="8"/>
      <c r="K675" s="8" t="s">
        <v>79</v>
      </c>
      <c r="L675" s="9"/>
      <c r="M675" s="9"/>
      <c r="N675" s="8"/>
      <c r="O675" s="10"/>
    </row>
    <row r="676" spans="1:15" ht="52.8" x14ac:dyDescent="0.3">
      <c r="A676" s="6" t="s">
        <v>3572</v>
      </c>
      <c r="B676" s="7" t="s">
        <v>3560</v>
      </c>
      <c r="C676" s="7" t="s">
        <v>3561</v>
      </c>
      <c r="D676" s="7" t="s">
        <v>3573</v>
      </c>
      <c r="E676" s="7" t="s">
        <v>3574</v>
      </c>
      <c r="F676" s="7" t="s">
        <v>3564</v>
      </c>
      <c r="G676" s="7" t="s">
        <v>3575</v>
      </c>
      <c r="H676" s="7" t="s">
        <v>3576</v>
      </c>
      <c r="I676" s="6" t="s">
        <v>39</v>
      </c>
      <c r="J676" s="8"/>
      <c r="K676" s="8" t="s">
        <v>79</v>
      </c>
      <c r="L676" s="9"/>
      <c r="M676" s="9"/>
      <c r="N676" s="8"/>
      <c r="O676" s="10"/>
    </row>
    <row r="677" spans="1:15" ht="26.4" x14ac:dyDescent="0.3">
      <c r="A677" s="11" t="s">
        <v>3577</v>
      </c>
      <c r="B677" s="12" t="s">
        <v>3560</v>
      </c>
      <c r="C677" s="12" t="s">
        <v>3561</v>
      </c>
      <c r="D677" s="12" t="s">
        <v>3578</v>
      </c>
      <c r="E677" s="12" t="s">
        <v>3579</v>
      </c>
      <c r="F677" s="12" t="s">
        <v>3564</v>
      </c>
      <c r="G677" s="12" t="s">
        <v>3580</v>
      </c>
      <c r="H677" s="12" t="s">
        <v>3581</v>
      </c>
      <c r="I677" s="11" t="s">
        <v>39</v>
      </c>
      <c r="J677" s="8"/>
      <c r="K677" s="8" t="s">
        <v>79</v>
      </c>
      <c r="L677" s="9"/>
      <c r="M677" s="9"/>
      <c r="N677" s="8"/>
      <c r="O677" s="10"/>
    </row>
    <row r="678" spans="1:15" ht="92.4" x14ac:dyDescent="0.3">
      <c r="A678" s="6" t="s">
        <v>3582</v>
      </c>
      <c r="B678" s="7" t="s">
        <v>3560</v>
      </c>
      <c r="C678" s="7" t="s">
        <v>3561</v>
      </c>
      <c r="D678" s="7" t="s">
        <v>3583</v>
      </c>
      <c r="E678" s="7" t="s">
        <v>3584</v>
      </c>
      <c r="F678" s="7" t="s">
        <v>3585</v>
      </c>
      <c r="G678" s="7" t="s">
        <v>3586</v>
      </c>
      <c r="H678" s="7" t="s">
        <v>3587</v>
      </c>
      <c r="I678" s="6" t="s">
        <v>39</v>
      </c>
      <c r="J678" s="8"/>
      <c r="K678" s="8" t="s">
        <v>79</v>
      </c>
      <c r="L678" s="9"/>
      <c r="M678" s="9"/>
      <c r="N678" s="8"/>
      <c r="O678" s="10"/>
    </row>
    <row r="679" spans="1:15" ht="52.8" x14ac:dyDescent="0.3">
      <c r="A679" s="11" t="s">
        <v>3588</v>
      </c>
      <c r="B679" s="12" t="s">
        <v>3560</v>
      </c>
      <c r="C679" s="12" t="s">
        <v>3561</v>
      </c>
      <c r="D679" s="12" t="s">
        <v>3589</v>
      </c>
      <c r="E679" s="12" t="s">
        <v>3590</v>
      </c>
      <c r="F679" s="12" t="s">
        <v>3585</v>
      </c>
      <c r="G679" s="12" t="s">
        <v>3591</v>
      </c>
      <c r="H679" s="12" t="s">
        <v>3592</v>
      </c>
      <c r="I679" s="11" t="s">
        <v>39</v>
      </c>
      <c r="J679" s="8"/>
      <c r="K679" s="8" t="s">
        <v>79</v>
      </c>
      <c r="L679" s="9"/>
      <c r="M679" s="9"/>
      <c r="N679" s="8"/>
      <c r="O679" s="10"/>
    </row>
    <row r="680" spans="1:15" ht="52.8" x14ac:dyDescent="0.3">
      <c r="A680" s="6" t="s">
        <v>3593</v>
      </c>
      <c r="B680" s="7" t="s">
        <v>3560</v>
      </c>
      <c r="C680" s="7" t="s">
        <v>3561</v>
      </c>
      <c r="D680" s="7" t="s">
        <v>3594</v>
      </c>
      <c r="E680" s="7" t="s">
        <v>3595</v>
      </c>
      <c r="F680" s="7" t="s">
        <v>3596</v>
      </c>
      <c r="G680" s="7" t="s">
        <v>3597</v>
      </c>
      <c r="H680" s="7" t="s">
        <v>3598</v>
      </c>
      <c r="I680" s="6" t="s">
        <v>39</v>
      </c>
      <c r="J680" s="8"/>
      <c r="K680" s="8" t="s">
        <v>79</v>
      </c>
      <c r="L680" s="9"/>
      <c r="M680" s="9"/>
      <c r="N680" s="8"/>
      <c r="O680" s="10"/>
    </row>
    <row r="681" spans="1:15" ht="79.2" x14ac:dyDescent="0.3">
      <c r="A681" s="11" t="s">
        <v>3599</v>
      </c>
      <c r="B681" s="12" t="s">
        <v>3560</v>
      </c>
      <c r="C681" s="12" t="s">
        <v>3561</v>
      </c>
      <c r="D681" s="12" t="s">
        <v>3600</v>
      </c>
      <c r="E681" s="12" t="s">
        <v>3601</v>
      </c>
      <c r="F681" s="12" t="s">
        <v>3596</v>
      </c>
      <c r="G681" s="12" t="s">
        <v>1677</v>
      </c>
      <c r="H681" s="12" t="s">
        <v>3602</v>
      </c>
      <c r="I681" s="11" t="s">
        <v>39</v>
      </c>
      <c r="J681" s="8"/>
      <c r="K681" s="8" t="s">
        <v>79</v>
      </c>
      <c r="L681" s="9"/>
      <c r="M681" s="9"/>
      <c r="N681" s="8"/>
      <c r="O681" s="10"/>
    </row>
    <row r="682" spans="1:15" ht="132" x14ac:dyDescent="0.3">
      <c r="A682" s="6" t="s">
        <v>3603</v>
      </c>
      <c r="B682" s="7" t="s">
        <v>3560</v>
      </c>
      <c r="C682" s="7" t="s">
        <v>3561</v>
      </c>
      <c r="D682" s="7" t="s">
        <v>3604</v>
      </c>
      <c r="E682" s="7" t="s">
        <v>3605</v>
      </c>
      <c r="F682" s="7" t="s">
        <v>3596</v>
      </c>
      <c r="G682" s="7" t="s">
        <v>3606</v>
      </c>
      <c r="H682" s="7" t="s">
        <v>3607</v>
      </c>
      <c r="I682" s="6" t="s">
        <v>39</v>
      </c>
      <c r="J682" s="8"/>
      <c r="K682" s="8" t="s">
        <v>79</v>
      </c>
      <c r="L682" s="9"/>
      <c r="M682" s="9"/>
      <c r="N682" s="8"/>
      <c r="O682" s="10"/>
    </row>
    <row r="683" spans="1:15" ht="52.8" x14ac:dyDescent="0.3">
      <c r="A683" s="11" t="s">
        <v>3608</v>
      </c>
      <c r="B683" s="12" t="s">
        <v>3560</v>
      </c>
      <c r="C683" s="12" t="s">
        <v>3561</v>
      </c>
      <c r="D683" s="12" t="s">
        <v>3609</v>
      </c>
      <c r="E683" s="12" t="s">
        <v>3610</v>
      </c>
      <c r="F683" s="12" t="s">
        <v>3596</v>
      </c>
      <c r="G683" s="12" t="s">
        <v>3611</v>
      </c>
      <c r="H683" s="12" t="s">
        <v>3612</v>
      </c>
      <c r="I683" s="11" t="s">
        <v>39</v>
      </c>
      <c r="J683" s="8"/>
      <c r="K683" s="8" t="s">
        <v>79</v>
      </c>
      <c r="L683" s="9"/>
      <c r="M683" s="9"/>
      <c r="N683" s="8"/>
      <c r="O683" s="10"/>
    </row>
    <row r="684" spans="1:15" ht="39.6" x14ac:dyDescent="0.3">
      <c r="A684" s="6" t="s">
        <v>3613</v>
      </c>
      <c r="B684" s="7" t="s">
        <v>3560</v>
      </c>
      <c r="C684" s="7" t="s">
        <v>3614</v>
      </c>
      <c r="D684" s="7" t="s">
        <v>3615</v>
      </c>
      <c r="E684" s="7" t="s">
        <v>3616</v>
      </c>
      <c r="F684" s="7" t="s">
        <v>1416</v>
      </c>
      <c r="G684" s="7" t="s">
        <v>793</v>
      </c>
      <c r="H684" s="7" t="s">
        <v>3617</v>
      </c>
      <c r="I684" s="6" t="s">
        <v>39</v>
      </c>
      <c r="J684" s="8"/>
      <c r="K684" s="8" t="s">
        <v>79</v>
      </c>
      <c r="L684" s="9"/>
      <c r="M684" s="9"/>
      <c r="N684" s="8"/>
      <c r="O684" s="10"/>
    </row>
    <row r="685" spans="1:15" ht="66" x14ac:dyDescent="0.3">
      <c r="A685" s="11" t="s">
        <v>3618</v>
      </c>
      <c r="B685" s="12" t="s">
        <v>3619</v>
      </c>
      <c r="C685" s="12" t="s">
        <v>3620</v>
      </c>
      <c r="D685" s="12" t="s">
        <v>3621</v>
      </c>
      <c r="E685" s="12" t="s">
        <v>3622</v>
      </c>
      <c r="F685" s="12" t="s">
        <v>3585</v>
      </c>
      <c r="G685" s="12" t="s">
        <v>484</v>
      </c>
      <c r="H685" s="12" t="s">
        <v>3623</v>
      </c>
      <c r="I685" s="11" t="s">
        <v>39</v>
      </c>
      <c r="J685" s="8"/>
      <c r="K685" s="8" t="s">
        <v>79</v>
      </c>
      <c r="L685" s="9"/>
      <c r="M685" s="9"/>
      <c r="N685" s="8"/>
      <c r="O685" s="10"/>
    </row>
    <row r="686" spans="1:15" ht="26.4" x14ac:dyDescent="0.3">
      <c r="A686" s="6" t="s">
        <v>3624</v>
      </c>
      <c r="B686" s="7" t="s">
        <v>3619</v>
      </c>
      <c r="C686" s="7" t="s">
        <v>3620</v>
      </c>
      <c r="D686" s="7" t="s">
        <v>3625</v>
      </c>
      <c r="E686" s="7" t="s">
        <v>3626</v>
      </c>
      <c r="F686" s="7" t="s">
        <v>3585</v>
      </c>
      <c r="G686" s="7" t="s">
        <v>484</v>
      </c>
      <c r="H686" s="7" t="s">
        <v>3627</v>
      </c>
      <c r="I686" s="6" t="s">
        <v>39</v>
      </c>
      <c r="J686" s="8"/>
      <c r="K686" s="8" t="s">
        <v>79</v>
      </c>
      <c r="L686" s="9"/>
      <c r="M686" s="9"/>
      <c r="N686" s="8"/>
      <c r="O686" s="10"/>
    </row>
    <row r="687" spans="1:15" ht="52.8" x14ac:dyDescent="0.3">
      <c r="A687" s="11" t="s">
        <v>3628</v>
      </c>
      <c r="B687" s="12" t="s">
        <v>3619</v>
      </c>
      <c r="C687" s="12" t="s">
        <v>3620</v>
      </c>
      <c r="D687" s="12" t="s">
        <v>3629</v>
      </c>
      <c r="E687" s="12" t="s">
        <v>3630</v>
      </c>
      <c r="F687" s="12" t="s">
        <v>3585</v>
      </c>
      <c r="G687" s="12" t="s">
        <v>484</v>
      </c>
      <c r="H687" s="12" t="s">
        <v>3631</v>
      </c>
      <c r="I687" s="11" t="s">
        <v>39</v>
      </c>
      <c r="J687" s="8"/>
      <c r="K687" s="8" t="s">
        <v>79</v>
      </c>
      <c r="L687" s="9"/>
      <c r="M687" s="9"/>
      <c r="N687" s="8"/>
      <c r="O687" s="10"/>
    </row>
    <row r="688" spans="1:15" ht="39.6" x14ac:dyDescent="0.3">
      <c r="A688" s="6" t="s">
        <v>3632</v>
      </c>
      <c r="B688" s="7" t="s">
        <v>3619</v>
      </c>
      <c r="C688" s="7" t="s">
        <v>3620</v>
      </c>
      <c r="D688" s="7" t="s">
        <v>3633</v>
      </c>
      <c r="E688" s="7" t="s">
        <v>3634</v>
      </c>
      <c r="F688" s="7" t="s">
        <v>3585</v>
      </c>
      <c r="G688" s="7" t="s">
        <v>484</v>
      </c>
      <c r="H688" s="7" t="s">
        <v>3635</v>
      </c>
      <c r="I688" s="6" t="s">
        <v>39</v>
      </c>
      <c r="J688" s="8"/>
      <c r="K688" s="8" t="s">
        <v>79</v>
      </c>
      <c r="L688" s="9"/>
      <c r="M688" s="9"/>
      <c r="N688" s="8"/>
      <c r="O688" s="10"/>
    </row>
    <row r="689" spans="1:15" ht="52.8" x14ac:dyDescent="0.3">
      <c r="A689" s="11" t="s">
        <v>3636</v>
      </c>
      <c r="B689" s="12" t="s">
        <v>3619</v>
      </c>
      <c r="C689" s="12" t="s">
        <v>3620</v>
      </c>
      <c r="D689" s="12" t="s">
        <v>3637</v>
      </c>
      <c r="E689" s="12" t="s">
        <v>3638</v>
      </c>
      <c r="F689" s="12" t="s">
        <v>3585</v>
      </c>
      <c r="G689" s="12" t="s">
        <v>484</v>
      </c>
      <c r="H689" s="12" t="s">
        <v>3639</v>
      </c>
      <c r="I689" s="11" t="s">
        <v>39</v>
      </c>
      <c r="J689" s="8"/>
      <c r="K689" s="8" t="s">
        <v>79</v>
      </c>
      <c r="L689" s="9"/>
      <c r="M689" s="9"/>
      <c r="N689" s="8"/>
      <c r="O689" s="10"/>
    </row>
    <row r="690" spans="1:15" ht="26.4" x14ac:dyDescent="0.3">
      <c r="A690" s="6" t="s">
        <v>3640</v>
      </c>
      <c r="B690" s="7" t="s">
        <v>3619</v>
      </c>
      <c r="C690" s="7" t="s">
        <v>3620</v>
      </c>
      <c r="D690" s="7" t="s">
        <v>3641</v>
      </c>
      <c r="E690" s="7" t="s">
        <v>3642</v>
      </c>
      <c r="F690" s="7" t="s">
        <v>3585</v>
      </c>
      <c r="G690" s="7" t="s">
        <v>484</v>
      </c>
      <c r="H690" s="7" t="s">
        <v>3643</v>
      </c>
      <c r="I690" s="6" t="s">
        <v>39</v>
      </c>
      <c r="J690" s="8"/>
      <c r="K690" s="8" t="s">
        <v>79</v>
      </c>
      <c r="L690" s="9"/>
      <c r="M690" s="9"/>
      <c r="N690" s="8"/>
      <c r="O690" s="10"/>
    </row>
    <row r="691" spans="1:15" ht="66" x14ac:dyDescent="0.3">
      <c r="A691" s="11" t="s">
        <v>3644</v>
      </c>
      <c r="B691" s="12" t="s">
        <v>3645</v>
      </c>
      <c r="C691" s="12" t="s">
        <v>3646</v>
      </c>
      <c r="D691" s="12" t="s">
        <v>3647</v>
      </c>
      <c r="E691" s="12" t="s">
        <v>3648</v>
      </c>
      <c r="F691" s="12" t="s">
        <v>3564</v>
      </c>
      <c r="G691" s="12" t="s">
        <v>3649</v>
      </c>
      <c r="H691" s="12" t="s">
        <v>3650</v>
      </c>
      <c r="I691" s="11" t="s">
        <v>39</v>
      </c>
      <c r="J691" s="8"/>
      <c r="K691" s="8" t="s">
        <v>79</v>
      </c>
      <c r="L691" s="9"/>
      <c r="M691" s="9"/>
      <c r="N691" s="8"/>
      <c r="O691" s="10"/>
    </row>
    <row r="692" spans="1:15" ht="39.6" x14ac:dyDescent="0.3">
      <c r="A692" s="6" t="s">
        <v>3651</v>
      </c>
      <c r="B692" s="7" t="s">
        <v>3645</v>
      </c>
      <c r="C692" s="7" t="s">
        <v>3652</v>
      </c>
      <c r="D692" s="7" t="s">
        <v>3653</v>
      </c>
      <c r="E692" s="7" t="s">
        <v>3654</v>
      </c>
      <c r="F692" s="7" t="s">
        <v>48</v>
      </c>
      <c r="G692" s="7" t="s">
        <v>3284</v>
      </c>
      <c r="H692" s="7" t="s">
        <v>3655</v>
      </c>
      <c r="I692" s="6" t="s">
        <v>39</v>
      </c>
      <c r="J692" s="8"/>
      <c r="K692" s="8" t="s">
        <v>79</v>
      </c>
      <c r="L692" s="9"/>
      <c r="M692" s="9"/>
      <c r="N692" s="8"/>
      <c r="O692" s="10"/>
    </row>
    <row r="693" spans="1:15" ht="52.8" x14ac:dyDescent="0.3">
      <c r="A693" s="11" t="s">
        <v>3656</v>
      </c>
      <c r="B693" s="12" t="s">
        <v>3657</v>
      </c>
      <c r="C693" s="12" t="s">
        <v>3135</v>
      </c>
      <c r="D693" s="12" t="s">
        <v>3658</v>
      </c>
      <c r="E693" s="12" t="s">
        <v>3659</v>
      </c>
      <c r="F693" s="12" t="s">
        <v>2238</v>
      </c>
      <c r="G693" s="12" t="s">
        <v>3355</v>
      </c>
      <c r="H693" s="12" t="s">
        <v>3660</v>
      </c>
      <c r="I693" s="11" t="s">
        <v>41</v>
      </c>
      <c r="J693" s="8"/>
      <c r="K693" s="8" t="s">
        <v>275</v>
      </c>
      <c r="L693" s="9"/>
      <c r="M693" s="9"/>
      <c r="N693" s="8"/>
      <c r="O693" s="10"/>
    </row>
    <row r="694" spans="1:15" ht="52.8" x14ac:dyDescent="0.3">
      <c r="A694" s="6" t="s">
        <v>3661</v>
      </c>
      <c r="B694" s="7" t="s">
        <v>3657</v>
      </c>
      <c r="C694" s="7" t="s">
        <v>3135</v>
      </c>
      <c r="D694" s="7" t="s">
        <v>3662</v>
      </c>
      <c r="E694" s="7" t="s">
        <v>3663</v>
      </c>
      <c r="F694" s="7" t="s">
        <v>2238</v>
      </c>
      <c r="G694" s="7" t="s">
        <v>3360</v>
      </c>
      <c r="H694" s="7" t="s">
        <v>3664</v>
      </c>
      <c r="I694" s="6" t="s">
        <v>41</v>
      </c>
      <c r="J694" s="8"/>
      <c r="K694" s="8" t="s">
        <v>275</v>
      </c>
      <c r="L694" s="9"/>
      <c r="M694" s="9"/>
      <c r="N694" s="8"/>
      <c r="O694" s="10"/>
    </row>
    <row r="695" spans="1:15" ht="26.4" x14ac:dyDescent="0.3">
      <c r="A695" s="11" t="s">
        <v>3665</v>
      </c>
      <c r="B695" s="12" t="s">
        <v>3657</v>
      </c>
      <c r="C695" s="12" t="s">
        <v>3135</v>
      </c>
      <c r="D695" s="12" t="s">
        <v>3666</v>
      </c>
      <c r="E695" s="12" t="s">
        <v>3667</v>
      </c>
      <c r="F695" s="12" t="s">
        <v>2238</v>
      </c>
      <c r="G695" s="12" t="s">
        <v>3668</v>
      </c>
      <c r="H695" s="12" t="s">
        <v>3669</v>
      </c>
      <c r="I695" s="11" t="s">
        <v>41</v>
      </c>
      <c r="J695" s="8"/>
      <c r="K695" s="8" t="s">
        <v>275</v>
      </c>
      <c r="L695" s="9"/>
      <c r="M695" s="9"/>
      <c r="N695" s="8"/>
      <c r="O695" s="10"/>
    </row>
    <row r="696" spans="1:15" ht="26.4" x14ac:dyDescent="0.3">
      <c r="A696" s="6" t="s">
        <v>3670</v>
      </c>
      <c r="B696" s="7" t="s">
        <v>3657</v>
      </c>
      <c r="C696" s="7" t="s">
        <v>3058</v>
      </c>
      <c r="D696" s="7" t="s">
        <v>3671</v>
      </c>
      <c r="E696" s="7" t="s">
        <v>3672</v>
      </c>
      <c r="F696" s="7" t="s">
        <v>48</v>
      </c>
      <c r="G696" s="7" t="s">
        <v>3673</v>
      </c>
      <c r="H696" s="7" t="s">
        <v>3674</v>
      </c>
      <c r="I696" s="6" t="s">
        <v>41</v>
      </c>
      <c r="J696" s="8"/>
      <c r="K696" s="8" t="s">
        <v>275</v>
      </c>
      <c r="L696" s="9"/>
      <c r="M696" s="9"/>
      <c r="N696" s="8"/>
      <c r="O696" s="10"/>
    </row>
    <row r="697" spans="1:15" ht="26.4" x14ac:dyDescent="0.3">
      <c r="A697" s="11" t="s">
        <v>3675</v>
      </c>
      <c r="B697" s="12" t="s">
        <v>3657</v>
      </c>
      <c r="C697" s="12" t="s">
        <v>3135</v>
      </c>
      <c r="D697" s="12" t="s">
        <v>3676</v>
      </c>
      <c r="E697" s="12" t="s">
        <v>3677</v>
      </c>
      <c r="F697" s="12" t="s">
        <v>2238</v>
      </c>
      <c r="G697" s="12" t="s">
        <v>3355</v>
      </c>
      <c r="H697" s="12" t="s">
        <v>3678</v>
      </c>
      <c r="I697" s="11" t="s">
        <v>41</v>
      </c>
      <c r="J697" s="8"/>
      <c r="K697" s="8" t="s">
        <v>275</v>
      </c>
      <c r="L697" s="9"/>
      <c r="M697" s="9"/>
      <c r="N697" s="8"/>
      <c r="O697" s="10"/>
    </row>
    <row r="698" spans="1:15" ht="26.4" x14ac:dyDescent="0.3">
      <c r="A698" s="6" t="s">
        <v>3679</v>
      </c>
      <c r="B698" s="7" t="s">
        <v>3657</v>
      </c>
      <c r="C698" s="7" t="s">
        <v>3135</v>
      </c>
      <c r="D698" s="7" t="s">
        <v>3680</v>
      </c>
      <c r="E698" s="7" t="s">
        <v>3681</v>
      </c>
      <c r="F698" s="7" t="s">
        <v>2238</v>
      </c>
      <c r="G698" s="7" t="s">
        <v>3360</v>
      </c>
      <c r="H698" s="7" t="s">
        <v>3682</v>
      </c>
      <c r="I698" s="6" t="s">
        <v>41</v>
      </c>
      <c r="J698" s="8"/>
      <c r="K698" s="8" t="s">
        <v>275</v>
      </c>
      <c r="L698" s="9"/>
      <c r="M698" s="9"/>
      <c r="N698" s="8"/>
      <c r="O698" s="10"/>
    </row>
    <row r="699" spans="1:15" ht="39.6" x14ac:dyDescent="0.3">
      <c r="A699" s="11" t="s">
        <v>3683</v>
      </c>
      <c r="B699" s="12" t="s">
        <v>3657</v>
      </c>
      <c r="C699" s="12" t="s">
        <v>3135</v>
      </c>
      <c r="D699" s="12" t="s">
        <v>3684</v>
      </c>
      <c r="E699" s="12" t="s">
        <v>3685</v>
      </c>
      <c r="F699" s="12" t="s">
        <v>2238</v>
      </c>
      <c r="G699" s="12" t="s">
        <v>3686</v>
      </c>
      <c r="H699" s="12" t="s">
        <v>3687</v>
      </c>
      <c r="I699" s="11" t="s">
        <v>41</v>
      </c>
      <c r="J699" s="8"/>
      <c r="K699" s="8" t="s">
        <v>275</v>
      </c>
      <c r="L699" s="9"/>
      <c r="M699" s="9"/>
      <c r="N699" s="8"/>
      <c r="O699" s="10"/>
    </row>
    <row r="700" spans="1:15" ht="52.8" x14ac:dyDescent="0.3">
      <c r="A700" s="6" t="s">
        <v>3688</v>
      </c>
      <c r="B700" s="7" t="s">
        <v>3657</v>
      </c>
      <c r="C700" s="7" t="s">
        <v>3135</v>
      </c>
      <c r="D700" s="7" t="s">
        <v>3689</v>
      </c>
      <c r="E700" s="7" t="s">
        <v>3690</v>
      </c>
      <c r="F700" s="7" t="s">
        <v>2238</v>
      </c>
      <c r="G700" s="7" t="s">
        <v>3691</v>
      </c>
      <c r="H700" s="7" t="s">
        <v>3692</v>
      </c>
      <c r="I700" s="6" t="s">
        <v>41</v>
      </c>
      <c r="J700" s="8"/>
      <c r="K700" s="8" t="s">
        <v>275</v>
      </c>
      <c r="L700" s="9"/>
      <c r="M700" s="9"/>
      <c r="N700" s="8"/>
      <c r="O700" s="10"/>
    </row>
    <row r="701" spans="1:15" ht="105.6" x14ac:dyDescent="0.3">
      <c r="A701" s="11" t="s">
        <v>3693</v>
      </c>
      <c r="B701" s="12" t="s">
        <v>3657</v>
      </c>
      <c r="C701" s="12" t="s">
        <v>3135</v>
      </c>
      <c r="D701" s="12" t="s">
        <v>3694</v>
      </c>
      <c r="E701" s="12" t="s">
        <v>3695</v>
      </c>
      <c r="F701" s="12" t="s">
        <v>2238</v>
      </c>
      <c r="G701" s="12" t="s">
        <v>3696</v>
      </c>
      <c r="H701" s="12" t="s">
        <v>3697</v>
      </c>
      <c r="I701" s="11" t="s">
        <v>41</v>
      </c>
      <c r="J701" s="8"/>
      <c r="K701" s="8" t="s">
        <v>275</v>
      </c>
      <c r="L701" s="9"/>
      <c r="M701" s="9"/>
      <c r="N701" s="8"/>
      <c r="O701" s="10"/>
    </row>
    <row r="702" spans="1:15" ht="26.4" x14ac:dyDescent="0.3">
      <c r="A702" s="6" t="s">
        <v>3698</v>
      </c>
      <c r="B702" s="7" t="s">
        <v>3657</v>
      </c>
      <c r="C702" s="7" t="s">
        <v>3281</v>
      </c>
      <c r="D702" s="7" t="s">
        <v>3699</v>
      </c>
      <c r="E702" s="7" t="s">
        <v>3700</v>
      </c>
      <c r="F702" s="7" t="s">
        <v>48</v>
      </c>
      <c r="G702" s="7" t="s">
        <v>3701</v>
      </c>
      <c r="H702" s="7" t="s">
        <v>3702</v>
      </c>
      <c r="I702" s="6" t="s">
        <v>41</v>
      </c>
      <c r="J702" s="8"/>
      <c r="K702" s="8" t="s">
        <v>275</v>
      </c>
      <c r="L702" s="9"/>
      <c r="M702" s="9"/>
      <c r="N702" s="8"/>
      <c r="O702" s="10"/>
    </row>
    <row r="703" spans="1:15" ht="26.4" x14ac:dyDescent="0.3">
      <c r="A703" s="11" t="s">
        <v>3703</v>
      </c>
      <c r="B703" s="12" t="s">
        <v>3657</v>
      </c>
      <c r="C703" s="12" t="s">
        <v>3135</v>
      </c>
      <c r="D703" s="12" t="s">
        <v>3704</v>
      </c>
      <c r="E703" s="12" t="s">
        <v>3705</v>
      </c>
      <c r="F703" s="12" t="s">
        <v>2238</v>
      </c>
      <c r="G703" s="12" t="s">
        <v>3696</v>
      </c>
      <c r="H703" s="12" t="s">
        <v>3706</v>
      </c>
      <c r="I703" s="11" t="s">
        <v>41</v>
      </c>
      <c r="J703" s="8"/>
      <c r="K703" s="8" t="s">
        <v>275</v>
      </c>
      <c r="L703" s="9"/>
      <c r="M703" s="9"/>
      <c r="N703" s="8"/>
      <c r="O703" s="10"/>
    </row>
    <row r="704" spans="1:15" ht="52.8" x14ac:dyDescent="0.3">
      <c r="A704" s="6" t="s">
        <v>3707</v>
      </c>
      <c r="B704" s="7" t="s">
        <v>3657</v>
      </c>
      <c r="C704" s="7" t="s">
        <v>3135</v>
      </c>
      <c r="D704" s="7" t="s">
        <v>3708</v>
      </c>
      <c r="E704" s="7" t="s">
        <v>3709</v>
      </c>
      <c r="F704" s="7" t="s">
        <v>2238</v>
      </c>
      <c r="G704" s="7" t="s">
        <v>3696</v>
      </c>
      <c r="H704" s="7" t="s">
        <v>3710</v>
      </c>
      <c r="I704" s="6" t="s">
        <v>41</v>
      </c>
      <c r="J704" s="8"/>
      <c r="K704" s="8" t="s">
        <v>275</v>
      </c>
      <c r="L704" s="9"/>
      <c r="M704" s="9"/>
      <c r="N704" s="8"/>
      <c r="O704" s="10"/>
    </row>
    <row r="705" spans="1:15" ht="26.4" x14ac:dyDescent="0.3">
      <c r="A705" s="11" t="s">
        <v>3711</v>
      </c>
      <c r="B705" s="12" t="s">
        <v>3657</v>
      </c>
      <c r="C705" s="12" t="s">
        <v>3135</v>
      </c>
      <c r="D705" s="12" t="s">
        <v>3712</v>
      </c>
      <c r="E705" s="12" t="s">
        <v>3713</v>
      </c>
      <c r="F705" s="12" t="s">
        <v>2238</v>
      </c>
      <c r="G705" s="12" t="s">
        <v>3714</v>
      </c>
      <c r="H705" s="12" t="s">
        <v>3715</v>
      </c>
      <c r="I705" s="11" t="s">
        <v>41</v>
      </c>
      <c r="J705" s="8"/>
      <c r="K705" s="8" t="s">
        <v>275</v>
      </c>
      <c r="L705" s="9"/>
      <c r="M705" s="9"/>
      <c r="N705" s="8"/>
      <c r="O705" s="10"/>
    </row>
    <row r="706" spans="1:15" ht="26.4" x14ac:dyDescent="0.3">
      <c r="A706" s="6" t="s">
        <v>3716</v>
      </c>
      <c r="B706" s="7" t="s">
        <v>3657</v>
      </c>
      <c r="C706" s="7" t="s">
        <v>3135</v>
      </c>
      <c r="D706" s="7" t="s">
        <v>3717</v>
      </c>
      <c r="E706" s="7" t="s">
        <v>3718</v>
      </c>
      <c r="F706" s="7" t="s">
        <v>2238</v>
      </c>
      <c r="G706" s="7" t="s">
        <v>3696</v>
      </c>
      <c r="H706" s="7" t="s">
        <v>3719</v>
      </c>
      <c r="I706" s="6" t="s">
        <v>41</v>
      </c>
      <c r="J706" s="8"/>
      <c r="K706" s="8" t="s">
        <v>275</v>
      </c>
      <c r="L706" s="9"/>
      <c r="M706" s="9"/>
      <c r="N706" s="8"/>
      <c r="O706" s="10"/>
    </row>
    <row r="707" spans="1:15" ht="39.6" x14ac:dyDescent="0.3">
      <c r="A707" s="11" t="s">
        <v>3720</v>
      </c>
      <c r="B707" s="12" t="s">
        <v>3657</v>
      </c>
      <c r="C707" s="12" t="s">
        <v>3135</v>
      </c>
      <c r="D707" s="12" t="s">
        <v>3721</v>
      </c>
      <c r="E707" s="12" t="s">
        <v>3722</v>
      </c>
      <c r="F707" s="12" t="s">
        <v>2238</v>
      </c>
      <c r="G707" s="12" t="s">
        <v>3723</v>
      </c>
      <c r="H707" s="12" t="s">
        <v>3724</v>
      </c>
      <c r="I707" s="11" t="s">
        <v>41</v>
      </c>
      <c r="J707" s="8"/>
      <c r="K707" s="8" t="s">
        <v>275</v>
      </c>
      <c r="L707" s="9"/>
      <c r="M707" s="9"/>
      <c r="N707" s="8"/>
      <c r="O707" s="10"/>
    </row>
    <row r="708" spans="1:15" ht="26.4" x14ac:dyDescent="0.3">
      <c r="A708" s="6" t="s">
        <v>3725</v>
      </c>
      <c r="B708" s="7" t="s">
        <v>3657</v>
      </c>
      <c r="C708" s="7" t="s">
        <v>3135</v>
      </c>
      <c r="D708" s="7" t="s">
        <v>2623</v>
      </c>
      <c r="E708" s="7" t="s">
        <v>3726</v>
      </c>
      <c r="F708" s="7" t="s">
        <v>2238</v>
      </c>
      <c r="G708" s="7" t="s">
        <v>3148</v>
      </c>
      <c r="H708" s="7" t="s">
        <v>3727</v>
      </c>
      <c r="I708" s="6" t="s">
        <v>41</v>
      </c>
      <c r="J708" s="8"/>
      <c r="K708" s="8" t="s">
        <v>275</v>
      </c>
      <c r="L708" s="9"/>
      <c r="M708" s="9"/>
      <c r="N708" s="8"/>
      <c r="O708" s="10"/>
    </row>
    <row r="709" spans="1:15" ht="39.6" x14ac:dyDescent="0.3">
      <c r="A709" s="11" t="s">
        <v>3728</v>
      </c>
      <c r="B709" s="12" t="s">
        <v>3729</v>
      </c>
      <c r="C709" s="12" t="s">
        <v>3730</v>
      </c>
      <c r="D709" s="12" t="s">
        <v>3731</v>
      </c>
      <c r="E709" s="12" t="s">
        <v>3732</v>
      </c>
      <c r="F709" s="12" t="s">
        <v>3733</v>
      </c>
      <c r="G709" s="12" t="s">
        <v>3734</v>
      </c>
      <c r="H709" s="12" t="s">
        <v>3735</v>
      </c>
      <c r="I709" s="11" t="s">
        <v>43</v>
      </c>
      <c r="J709" s="8"/>
      <c r="K709" s="8" t="s">
        <v>275</v>
      </c>
      <c r="L709" s="9"/>
      <c r="M709" s="9"/>
      <c r="N709" s="8"/>
      <c r="O709" s="10"/>
    </row>
    <row r="710" spans="1:15" ht="26.4" x14ac:dyDescent="0.3">
      <c r="A710" s="6" t="s">
        <v>3736</v>
      </c>
      <c r="B710" s="7" t="s">
        <v>3729</v>
      </c>
      <c r="C710" s="7" t="s">
        <v>3737</v>
      </c>
      <c r="D710" s="7" t="s">
        <v>3738</v>
      </c>
      <c r="E710" s="7" t="s">
        <v>3739</v>
      </c>
      <c r="F710" s="7" t="s">
        <v>3733</v>
      </c>
      <c r="G710" s="7" t="s">
        <v>3740</v>
      </c>
      <c r="H710" s="7" t="s">
        <v>3741</v>
      </c>
      <c r="I710" s="6" t="s">
        <v>43</v>
      </c>
      <c r="J710" s="8"/>
      <c r="K710" s="8" t="s">
        <v>275</v>
      </c>
      <c r="L710" s="9"/>
      <c r="M710" s="9"/>
      <c r="N710" s="8"/>
      <c r="O710" s="10"/>
    </row>
    <row r="711" spans="1:15" ht="26.4" x14ac:dyDescent="0.3">
      <c r="A711" s="11" t="s">
        <v>3742</v>
      </c>
      <c r="B711" s="12" t="s">
        <v>3729</v>
      </c>
      <c r="C711" s="12" t="s">
        <v>3737</v>
      </c>
      <c r="D711" s="12" t="s">
        <v>270</v>
      </c>
      <c r="E711" s="12" t="s">
        <v>3743</v>
      </c>
      <c r="F711" s="12" t="s">
        <v>3733</v>
      </c>
      <c r="G711" s="12" t="s">
        <v>3744</v>
      </c>
      <c r="H711" s="12" t="s">
        <v>3745</v>
      </c>
      <c r="I711" s="11" t="s">
        <v>43</v>
      </c>
      <c r="J711" s="8"/>
      <c r="K711" s="8" t="s">
        <v>275</v>
      </c>
      <c r="L711" s="9"/>
      <c r="M711" s="9"/>
      <c r="N711" s="8"/>
      <c r="O711" s="10"/>
    </row>
    <row r="712" spans="1:15" ht="26.4" x14ac:dyDescent="0.3">
      <c r="A712" s="6" t="s">
        <v>3746</v>
      </c>
      <c r="B712" s="7" t="s">
        <v>3729</v>
      </c>
      <c r="C712" s="7" t="s">
        <v>3737</v>
      </c>
      <c r="D712" s="7" t="s">
        <v>3747</v>
      </c>
      <c r="E712" s="7" t="s">
        <v>3748</v>
      </c>
      <c r="F712" s="7" t="s">
        <v>3733</v>
      </c>
      <c r="G712" s="7" t="s">
        <v>3749</v>
      </c>
      <c r="H712" s="7" t="s">
        <v>3750</v>
      </c>
      <c r="I712" s="6" t="s">
        <v>43</v>
      </c>
      <c r="J712" s="8"/>
      <c r="K712" s="8" t="s">
        <v>275</v>
      </c>
      <c r="L712" s="9"/>
      <c r="M712" s="9"/>
      <c r="N712" s="8"/>
      <c r="O712" s="10"/>
    </row>
    <row r="713" spans="1:15" ht="26.4" x14ac:dyDescent="0.3">
      <c r="A713" s="11" t="s">
        <v>3751</v>
      </c>
      <c r="B713" s="12" t="s">
        <v>3729</v>
      </c>
      <c r="C713" s="12" t="s">
        <v>3737</v>
      </c>
      <c r="D713" s="12" t="s">
        <v>3752</v>
      </c>
      <c r="E713" s="12" t="s">
        <v>3753</v>
      </c>
      <c r="F713" s="12" t="s">
        <v>3733</v>
      </c>
      <c r="G713" s="12" t="s">
        <v>3754</v>
      </c>
      <c r="H713" s="12" t="s">
        <v>3755</v>
      </c>
      <c r="I713" s="11" t="s">
        <v>43</v>
      </c>
      <c r="J713" s="8"/>
      <c r="K713" s="8" t="s">
        <v>275</v>
      </c>
      <c r="L713" s="9"/>
      <c r="M713" s="9"/>
      <c r="N713" s="8"/>
      <c r="O713" s="10"/>
    </row>
    <row r="714" spans="1:15" ht="52.8" x14ac:dyDescent="0.3">
      <c r="A714" s="6" t="s">
        <v>3756</v>
      </c>
      <c r="B714" s="7" t="s">
        <v>3729</v>
      </c>
      <c r="C714" s="7" t="s">
        <v>3757</v>
      </c>
      <c r="D714" s="7" t="s">
        <v>3758</v>
      </c>
      <c r="E714" s="7" t="s">
        <v>3759</v>
      </c>
      <c r="F714" s="7" t="s">
        <v>3733</v>
      </c>
      <c r="G714" s="7" t="s">
        <v>3760</v>
      </c>
      <c r="H714" s="7" t="s">
        <v>3761</v>
      </c>
      <c r="I714" s="6" t="s">
        <v>43</v>
      </c>
      <c r="J714" s="8"/>
      <c r="K714" s="8" t="s">
        <v>275</v>
      </c>
      <c r="L714" s="9"/>
      <c r="M714" s="9"/>
      <c r="N714" s="8"/>
      <c r="O714" s="10"/>
    </row>
    <row r="715" spans="1:15" ht="26.4" x14ac:dyDescent="0.3">
      <c r="A715" s="11" t="s">
        <v>3762</v>
      </c>
      <c r="B715" s="12" t="s">
        <v>3729</v>
      </c>
      <c r="C715" s="12" t="s">
        <v>3757</v>
      </c>
      <c r="D715" s="12" t="s">
        <v>3763</v>
      </c>
      <c r="E715" s="12" t="s">
        <v>3764</v>
      </c>
      <c r="F715" s="12" t="s">
        <v>3733</v>
      </c>
      <c r="G715" s="12" t="s">
        <v>3749</v>
      </c>
      <c r="H715" s="12" t="s">
        <v>3765</v>
      </c>
      <c r="I715" s="11" t="s">
        <v>43</v>
      </c>
      <c r="J715" s="8"/>
      <c r="K715" s="8" t="s">
        <v>275</v>
      </c>
      <c r="L715" s="9"/>
      <c r="M715" s="9"/>
      <c r="N715" s="8"/>
      <c r="O715" s="10"/>
    </row>
    <row r="716" spans="1:15" ht="26.4" x14ac:dyDescent="0.3">
      <c r="A716" s="6" t="s">
        <v>3766</v>
      </c>
      <c r="B716" s="7" t="s">
        <v>3729</v>
      </c>
      <c r="C716" s="7" t="s">
        <v>3757</v>
      </c>
      <c r="D716" s="7" t="s">
        <v>3767</v>
      </c>
      <c r="E716" s="7" t="s">
        <v>3768</v>
      </c>
      <c r="F716" s="7" t="s">
        <v>3733</v>
      </c>
      <c r="G716" s="7" t="s">
        <v>3769</v>
      </c>
      <c r="H716" s="7" t="s">
        <v>3770</v>
      </c>
      <c r="I716" s="6" t="s">
        <v>43</v>
      </c>
      <c r="J716" s="8"/>
      <c r="K716" s="8" t="s">
        <v>275</v>
      </c>
      <c r="L716" s="9"/>
      <c r="M716" s="9"/>
      <c r="N716" s="8"/>
      <c r="O716" s="10"/>
    </row>
    <row r="717" spans="1:15" ht="26.4" x14ac:dyDescent="0.3">
      <c r="A717" s="11" t="s">
        <v>3771</v>
      </c>
      <c r="B717" s="12" t="s">
        <v>3729</v>
      </c>
      <c r="C717" s="12" t="s">
        <v>3757</v>
      </c>
      <c r="D717" s="12" t="s">
        <v>3772</v>
      </c>
      <c r="E717" s="12" t="s">
        <v>3773</v>
      </c>
      <c r="F717" s="12" t="s">
        <v>3733</v>
      </c>
      <c r="G717" s="12" t="s">
        <v>3774</v>
      </c>
      <c r="H717" s="12" t="s">
        <v>3775</v>
      </c>
      <c r="I717" s="11" t="s">
        <v>43</v>
      </c>
      <c r="J717" s="8"/>
      <c r="K717" s="8" t="s">
        <v>275</v>
      </c>
      <c r="L717" s="9"/>
      <c r="M717" s="9"/>
      <c r="N717" s="8"/>
      <c r="O717" s="10"/>
    </row>
    <row r="718" spans="1:15" ht="52.8" x14ac:dyDescent="0.3">
      <c r="A718" s="6" t="s">
        <v>3776</v>
      </c>
      <c r="B718" s="7" t="s">
        <v>3729</v>
      </c>
      <c r="C718" s="7" t="s">
        <v>3777</v>
      </c>
      <c r="D718" s="7" t="s">
        <v>3778</v>
      </c>
      <c r="E718" s="7" t="s">
        <v>3779</v>
      </c>
      <c r="F718" s="7" t="s">
        <v>3733</v>
      </c>
      <c r="G718" s="7" t="s">
        <v>3769</v>
      </c>
      <c r="H718" s="7" t="s">
        <v>3780</v>
      </c>
      <c r="I718" s="6" t="s">
        <v>43</v>
      </c>
      <c r="J718" s="8"/>
      <c r="K718" s="8" t="s">
        <v>275</v>
      </c>
      <c r="L718" s="9"/>
      <c r="M718" s="9"/>
      <c r="N718" s="8"/>
      <c r="O718" s="10"/>
    </row>
    <row r="719" spans="1:15" ht="39.6" x14ac:dyDescent="0.3">
      <c r="A719" s="11" t="s">
        <v>3781</v>
      </c>
      <c r="B719" s="12" t="s">
        <v>3729</v>
      </c>
      <c r="C719" s="12" t="s">
        <v>3782</v>
      </c>
      <c r="D719" s="12" t="s">
        <v>3783</v>
      </c>
      <c r="E719" s="12" t="s">
        <v>3784</v>
      </c>
      <c r="F719" s="12" t="s">
        <v>3733</v>
      </c>
      <c r="G719" s="12" t="s">
        <v>3774</v>
      </c>
      <c r="H719" s="12" t="s">
        <v>3785</v>
      </c>
      <c r="I719" s="11" t="s">
        <v>43</v>
      </c>
      <c r="J719" s="8"/>
      <c r="K719" s="8" t="s">
        <v>275</v>
      </c>
      <c r="L719" s="9"/>
      <c r="M719" s="9"/>
      <c r="N719" s="8"/>
      <c r="O719" s="10"/>
    </row>
    <row r="720" spans="1:15" ht="26.4" x14ac:dyDescent="0.3">
      <c r="A720" s="6" t="s">
        <v>3786</v>
      </c>
      <c r="B720" s="7" t="s">
        <v>3729</v>
      </c>
      <c r="C720" s="7" t="s">
        <v>3782</v>
      </c>
      <c r="D720" s="7" t="s">
        <v>3787</v>
      </c>
      <c r="E720" s="7" t="s">
        <v>3788</v>
      </c>
      <c r="F720" s="7" t="s">
        <v>3733</v>
      </c>
      <c r="G720" s="7" t="s">
        <v>77</v>
      </c>
      <c r="H720" s="7" t="s">
        <v>3789</v>
      </c>
      <c r="I720" s="6" t="s">
        <v>43</v>
      </c>
      <c r="J720" s="8"/>
      <c r="K720" s="8" t="s">
        <v>275</v>
      </c>
      <c r="L720" s="9"/>
      <c r="M720" s="9"/>
      <c r="N720" s="8"/>
      <c r="O720" s="10"/>
    </row>
    <row r="721" spans="1:15" ht="39.6" x14ac:dyDescent="0.3">
      <c r="A721" s="11" t="s">
        <v>3790</v>
      </c>
      <c r="B721" s="12" t="s">
        <v>3729</v>
      </c>
      <c r="C721" s="12" t="s">
        <v>3782</v>
      </c>
      <c r="D721" s="12" t="s">
        <v>3791</v>
      </c>
      <c r="E721" s="12" t="s">
        <v>3792</v>
      </c>
      <c r="F721" s="12" t="s">
        <v>3733</v>
      </c>
      <c r="G721" s="12" t="s">
        <v>3793</v>
      </c>
      <c r="H721" s="12" t="s">
        <v>3794</v>
      </c>
      <c r="I721" s="11" t="s">
        <v>43</v>
      </c>
      <c r="J721" s="8"/>
      <c r="K721" s="8" t="s">
        <v>275</v>
      </c>
      <c r="L721" s="9"/>
      <c r="M721" s="9"/>
      <c r="N721" s="8"/>
      <c r="O721" s="10"/>
    </row>
    <row r="722" spans="1:15" ht="26.4" x14ac:dyDescent="0.3">
      <c r="A722" s="6" t="s">
        <v>3795</v>
      </c>
      <c r="B722" s="7" t="s">
        <v>3729</v>
      </c>
      <c r="C722" s="7" t="s">
        <v>3782</v>
      </c>
      <c r="D722" s="7" t="s">
        <v>3796</v>
      </c>
      <c r="E722" s="7" t="s">
        <v>3797</v>
      </c>
      <c r="F722" s="7" t="s">
        <v>3733</v>
      </c>
      <c r="G722" s="7" t="s">
        <v>3798</v>
      </c>
      <c r="H722" s="7" t="s">
        <v>3799</v>
      </c>
      <c r="I722" s="6" t="s">
        <v>43</v>
      </c>
      <c r="J722" s="8"/>
      <c r="K722" s="8" t="s">
        <v>275</v>
      </c>
      <c r="L722" s="9"/>
      <c r="M722" s="9"/>
      <c r="N722" s="8"/>
      <c r="O722" s="10"/>
    </row>
    <row r="723" spans="1:15" ht="39.6" x14ac:dyDescent="0.3">
      <c r="A723" s="11" t="s">
        <v>3800</v>
      </c>
      <c r="B723" s="12" t="s">
        <v>3729</v>
      </c>
      <c r="C723" s="12" t="s">
        <v>3801</v>
      </c>
      <c r="D723" s="12" t="s">
        <v>3802</v>
      </c>
      <c r="E723" s="12" t="s">
        <v>3803</v>
      </c>
      <c r="F723" s="12" t="s">
        <v>3733</v>
      </c>
      <c r="G723" s="12" t="s">
        <v>3804</v>
      </c>
      <c r="H723" s="12" t="s">
        <v>3805</v>
      </c>
      <c r="I723" s="11" t="s">
        <v>43</v>
      </c>
      <c r="J723" s="8"/>
      <c r="K723" s="8" t="s">
        <v>275</v>
      </c>
      <c r="L723" s="9"/>
      <c r="M723" s="9"/>
      <c r="N723" s="8"/>
      <c r="O723" s="10"/>
    </row>
    <row r="724" spans="1:15" ht="39.6" x14ac:dyDescent="0.3">
      <c r="A724" s="6" t="s">
        <v>3806</v>
      </c>
      <c r="B724" s="7" t="s">
        <v>3729</v>
      </c>
      <c r="C724" s="7" t="s">
        <v>3801</v>
      </c>
      <c r="D724" s="7" t="s">
        <v>3807</v>
      </c>
      <c r="E724" s="7" t="s">
        <v>3808</v>
      </c>
      <c r="F724" s="7" t="s">
        <v>3733</v>
      </c>
      <c r="G724" s="7" t="s">
        <v>3809</v>
      </c>
      <c r="H724" s="7" t="s">
        <v>3810</v>
      </c>
      <c r="I724" s="6" t="s">
        <v>43</v>
      </c>
      <c r="J724" s="8"/>
      <c r="K724" s="8" t="s">
        <v>275</v>
      </c>
      <c r="L724" s="9"/>
      <c r="M724" s="9"/>
      <c r="N724" s="8"/>
      <c r="O724" s="10"/>
    </row>
    <row r="725" spans="1:15" ht="39.6" x14ac:dyDescent="0.3">
      <c r="A725" s="11" t="s">
        <v>3811</v>
      </c>
      <c r="B725" s="12" t="s">
        <v>3729</v>
      </c>
      <c r="C725" s="12" t="s">
        <v>3801</v>
      </c>
      <c r="D725" s="12" t="s">
        <v>3812</v>
      </c>
      <c r="E725" s="12" t="s">
        <v>3813</v>
      </c>
      <c r="F725" s="12" t="s">
        <v>3733</v>
      </c>
      <c r="G725" s="12" t="s">
        <v>3814</v>
      </c>
      <c r="H725" s="12" t="s">
        <v>3815</v>
      </c>
      <c r="I725" s="11" t="s">
        <v>43</v>
      </c>
      <c r="J725" s="8"/>
      <c r="K725" s="8" t="s">
        <v>275</v>
      </c>
      <c r="L725" s="9"/>
      <c r="M725" s="9"/>
      <c r="N725" s="8"/>
      <c r="O725" s="10"/>
    </row>
    <row r="726" spans="1:15" ht="39.6" x14ac:dyDescent="0.3">
      <c r="A726" s="6" t="s">
        <v>3816</v>
      </c>
      <c r="B726" s="7" t="s">
        <v>3729</v>
      </c>
      <c r="C726" s="7" t="s">
        <v>3817</v>
      </c>
      <c r="D726" s="7" t="s">
        <v>3818</v>
      </c>
      <c r="E726" s="7" t="s">
        <v>3819</v>
      </c>
      <c r="F726" s="7" t="s">
        <v>3733</v>
      </c>
      <c r="G726" s="7" t="s">
        <v>3820</v>
      </c>
      <c r="H726" s="7" t="s">
        <v>3821</v>
      </c>
      <c r="I726" s="6" t="s">
        <v>43</v>
      </c>
      <c r="J726" s="8"/>
      <c r="K726" s="8" t="s">
        <v>275</v>
      </c>
      <c r="L726" s="9"/>
      <c r="M726" s="9"/>
      <c r="N726" s="8"/>
      <c r="O726" s="10"/>
    </row>
    <row r="727" spans="1:15" ht="52.8" x14ac:dyDescent="0.3">
      <c r="A727" s="11" t="s">
        <v>3822</v>
      </c>
      <c r="B727" s="12" t="s">
        <v>3729</v>
      </c>
      <c r="C727" s="12" t="s">
        <v>3823</v>
      </c>
      <c r="D727" s="12" t="s">
        <v>3824</v>
      </c>
      <c r="E727" s="12" t="s">
        <v>3825</v>
      </c>
      <c r="F727" s="12" t="s">
        <v>3733</v>
      </c>
      <c r="G727" s="12" t="s">
        <v>3826</v>
      </c>
      <c r="H727" s="12" t="s">
        <v>3827</v>
      </c>
      <c r="I727" s="11" t="s">
        <v>43</v>
      </c>
      <c r="J727" s="8"/>
      <c r="K727" s="8" t="s">
        <v>275</v>
      </c>
      <c r="L727" s="9"/>
      <c r="M727" s="9"/>
      <c r="N727" s="8"/>
      <c r="O727" s="10"/>
    </row>
    <row r="728" spans="1:15" ht="39.6" x14ac:dyDescent="0.3">
      <c r="A728" s="6" t="s">
        <v>3828</v>
      </c>
      <c r="B728" s="7" t="s">
        <v>3729</v>
      </c>
      <c r="C728" s="7" t="s">
        <v>3823</v>
      </c>
      <c r="D728" s="7" t="s">
        <v>3829</v>
      </c>
      <c r="E728" s="7" t="s">
        <v>3830</v>
      </c>
      <c r="F728" s="7" t="s">
        <v>3733</v>
      </c>
      <c r="G728" s="7" t="s">
        <v>3831</v>
      </c>
      <c r="H728" s="7" t="s">
        <v>3832</v>
      </c>
      <c r="I728" s="6" t="s">
        <v>43</v>
      </c>
      <c r="J728" s="8"/>
      <c r="K728" s="8" t="s">
        <v>275</v>
      </c>
      <c r="L728" s="9"/>
      <c r="M728" s="9"/>
      <c r="N728" s="8"/>
      <c r="O728" s="10"/>
    </row>
    <row r="729" spans="1:15" ht="39.6" x14ac:dyDescent="0.3">
      <c r="A729" s="11" t="s">
        <v>3833</v>
      </c>
      <c r="B729" s="12" t="s">
        <v>3729</v>
      </c>
      <c r="C729" s="12" t="s">
        <v>3823</v>
      </c>
      <c r="D729" s="12" t="s">
        <v>3834</v>
      </c>
      <c r="E729" s="12" t="s">
        <v>3835</v>
      </c>
      <c r="F729" s="12" t="s">
        <v>3733</v>
      </c>
      <c r="G729" s="12" t="s">
        <v>3836</v>
      </c>
      <c r="H729" s="12" t="s">
        <v>3837</v>
      </c>
      <c r="I729" s="11" t="s">
        <v>43</v>
      </c>
      <c r="J729" s="8"/>
      <c r="K729" s="8" t="s">
        <v>275</v>
      </c>
      <c r="L729" s="9"/>
      <c r="M729" s="9"/>
      <c r="N729" s="8"/>
      <c r="O729" s="10"/>
    </row>
    <row r="730" spans="1:15" ht="39.6" x14ac:dyDescent="0.3">
      <c r="A730" s="6" t="s">
        <v>3838</v>
      </c>
      <c r="B730" s="7" t="s">
        <v>3729</v>
      </c>
      <c r="C730" s="7" t="s">
        <v>3823</v>
      </c>
      <c r="D730" s="7" t="s">
        <v>3839</v>
      </c>
      <c r="E730" s="7" t="s">
        <v>3840</v>
      </c>
      <c r="F730" s="7" t="s">
        <v>3733</v>
      </c>
      <c r="G730" s="7" t="s">
        <v>3841</v>
      </c>
      <c r="H730" s="7" t="s">
        <v>3842</v>
      </c>
      <c r="I730" s="6" t="s">
        <v>43</v>
      </c>
      <c r="J730" s="8"/>
      <c r="K730" s="8" t="s">
        <v>275</v>
      </c>
      <c r="L730" s="9"/>
      <c r="M730" s="9"/>
      <c r="N730" s="8"/>
      <c r="O730" s="10"/>
    </row>
    <row r="731" spans="1:15" ht="39.6" x14ac:dyDescent="0.3">
      <c r="A731" s="11" t="s">
        <v>3843</v>
      </c>
      <c r="B731" s="12" t="s">
        <v>3729</v>
      </c>
      <c r="C731" s="12" t="s">
        <v>3823</v>
      </c>
      <c r="D731" s="12" t="s">
        <v>3844</v>
      </c>
      <c r="E731" s="12" t="s">
        <v>3845</v>
      </c>
      <c r="F731" s="12" t="s">
        <v>3733</v>
      </c>
      <c r="G731" s="12" t="s">
        <v>3846</v>
      </c>
      <c r="H731" s="12" t="s">
        <v>3847</v>
      </c>
      <c r="I731" s="11" t="s">
        <v>43</v>
      </c>
      <c r="J731" s="8"/>
      <c r="K731" s="8" t="s">
        <v>275</v>
      </c>
      <c r="L731" s="9"/>
      <c r="M731" s="9"/>
      <c r="N731" s="8"/>
      <c r="O731" s="10"/>
    </row>
    <row r="732" spans="1:15" ht="39.6" x14ac:dyDescent="0.3">
      <c r="A732" s="6" t="s">
        <v>3848</v>
      </c>
      <c r="B732" s="7" t="s">
        <v>3729</v>
      </c>
      <c r="C732" s="7" t="s">
        <v>3849</v>
      </c>
      <c r="D732" s="7" t="s">
        <v>3850</v>
      </c>
      <c r="E732" s="7" t="s">
        <v>3851</v>
      </c>
      <c r="F732" s="7" t="s">
        <v>3733</v>
      </c>
      <c r="G732" s="7" t="s">
        <v>3852</v>
      </c>
      <c r="H732" s="7" t="s">
        <v>3853</v>
      </c>
      <c r="I732" s="6" t="s">
        <v>43</v>
      </c>
      <c r="J732" s="8"/>
      <c r="K732" s="8" t="s">
        <v>275</v>
      </c>
      <c r="L732" s="9"/>
      <c r="M732" s="9"/>
      <c r="N732" s="8"/>
      <c r="O732" s="10"/>
    </row>
    <row r="733" spans="1:15" ht="26.4" x14ac:dyDescent="0.3">
      <c r="A733" s="11" t="s">
        <v>3854</v>
      </c>
      <c r="B733" s="12" t="s">
        <v>3729</v>
      </c>
      <c r="C733" s="12" t="s">
        <v>3849</v>
      </c>
      <c r="D733" s="12" t="s">
        <v>3855</v>
      </c>
      <c r="E733" s="12" t="s">
        <v>3856</v>
      </c>
      <c r="F733" s="12" t="s">
        <v>3733</v>
      </c>
      <c r="G733" s="12" t="s">
        <v>3857</v>
      </c>
      <c r="H733" s="12" t="s">
        <v>3858</v>
      </c>
      <c r="I733" s="11" t="s">
        <v>43</v>
      </c>
      <c r="J733" s="8"/>
      <c r="K733" s="8" t="s">
        <v>275</v>
      </c>
      <c r="L733" s="9"/>
      <c r="M733" s="9"/>
      <c r="N733" s="8"/>
      <c r="O733" s="10"/>
    </row>
    <row r="734" spans="1:15" ht="26.4" x14ac:dyDescent="0.3">
      <c r="A734" s="6" t="s">
        <v>3859</v>
      </c>
      <c r="B734" s="7" t="s">
        <v>3729</v>
      </c>
      <c r="C734" s="7" t="s">
        <v>3860</v>
      </c>
      <c r="D734" s="7" t="s">
        <v>3861</v>
      </c>
      <c r="E734" s="7" t="s">
        <v>3862</v>
      </c>
      <c r="F734" s="7" t="s">
        <v>3733</v>
      </c>
      <c r="G734" s="7" t="s">
        <v>3863</v>
      </c>
      <c r="H734" s="7" t="s">
        <v>3864</v>
      </c>
      <c r="I734" s="6" t="s">
        <v>43</v>
      </c>
      <c r="J734" s="8"/>
      <c r="K734" s="8" t="s">
        <v>275</v>
      </c>
      <c r="L734" s="9"/>
      <c r="M734" s="9"/>
      <c r="N734" s="8"/>
      <c r="O734" s="10"/>
    </row>
    <row r="735" spans="1:15" ht="26.4" x14ac:dyDescent="0.3">
      <c r="A735" s="11" t="s">
        <v>3865</v>
      </c>
      <c r="B735" s="12" t="s">
        <v>3729</v>
      </c>
      <c r="C735" s="12" t="s">
        <v>3860</v>
      </c>
      <c r="D735" s="12" t="s">
        <v>3866</v>
      </c>
      <c r="E735" s="12" t="s">
        <v>3867</v>
      </c>
      <c r="F735" s="12" t="s">
        <v>3733</v>
      </c>
      <c r="G735" s="12" t="s">
        <v>3868</v>
      </c>
      <c r="H735" s="12" t="s">
        <v>3869</v>
      </c>
      <c r="I735" s="11" t="s">
        <v>43</v>
      </c>
      <c r="J735" s="8"/>
      <c r="K735" s="8" t="s">
        <v>275</v>
      </c>
      <c r="L735" s="9"/>
      <c r="M735" s="9"/>
      <c r="N735" s="8"/>
      <c r="O735" s="10"/>
    </row>
    <row r="736" spans="1:15" ht="39.6" x14ac:dyDescent="0.3">
      <c r="A736" s="6" t="s">
        <v>3870</v>
      </c>
      <c r="B736" s="7" t="s">
        <v>3729</v>
      </c>
      <c r="C736" s="7" t="s">
        <v>3871</v>
      </c>
      <c r="D736" s="7" t="s">
        <v>3872</v>
      </c>
      <c r="E736" s="7" t="s">
        <v>3873</v>
      </c>
      <c r="F736" s="7" t="s">
        <v>3733</v>
      </c>
      <c r="G736" s="7" t="s">
        <v>3874</v>
      </c>
      <c r="H736" s="7" t="s">
        <v>3875</v>
      </c>
      <c r="I736" s="6" t="s">
        <v>43</v>
      </c>
      <c r="J736" s="8"/>
      <c r="K736" s="8" t="s">
        <v>275</v>
      </c>
      <c r="L736" s="9"/>
      <c r="M736" s="9"/>
      <c r="N736" s="8"/>
      <c r="O736" s="10"/>
    </row>
    <row r="737" spans="1:15" ht="39.6" x14ac:dyDescent="0.3">
      <c r="A737" s="11" t="s">
        <v>3876</v>
      </c>
      <c r="B737" s="12" t="s">
        <v>3729</v>
      </c>
      <c r="C737" s="12" t="s">
        <v>3877</v>
      </c>
      <c r="D737" s="12" t="s">
        <v>3878</v>
      </c>
      <c r="E737" s="12" t="s">
        <v>3879</v>
      </c>
      <c r="F737" s="12" t="s">
        <v>3733</v>
      </c>
      <c r="G737" s="12" t="s">
        <v>3880</v>
      </c>
      <c r="H737" s="12" t="s">
        <v>3881</v>
      </c>
      <c r="I737" s="11" t="s">
        <v>43</v>
      </c>
      <c r="J737" s="8"/>
      <c r="K737" s="8" t="s">
        <v>275</v>
      </c>
      <c r="L737" s="9"/>
      <c r="M737" s="9"/>
      <c r="N737" s="8"/>
      <c r="O737" s="10"/>
    </row>
    <row r="738" spans="1:15" ht="52.8" x14ac:dyDescent="0.3">
      <c r="A738" s="6" t="s">
        <v>3882</v>
      </c>
      <c r="B738" s="7" t="s">
        <v>3729</v>
      </c>
      <c r="C738" s="7" t="s">
        <v>3877</v>
      </c>
      <c r="D738" s="7" t="s">
        <v>3883</v>
      </c>
      <c r="E738" s="7" t="s">
        <v>3884</v>
      </c>
      <c r="F738" s="7" t="s">
        <v>3733</v>
      </c>
      <c r="G738" s="7" t="s">
        <v>3885</v>
      </c>
      <c r="H738" s="7" t="s">
        <v>3886</v>
      </c>
      <c r="I738" s="6" t="s">
        <v>43</v>
      </c>
      <c r="J738" s="8"/>
      <c r="K738" s="8" t="s">
        <v>275</v>
      </c>
      <c r="L738" s="9"/>
      <c r="M738" s="9"/>
      <c r="N738" s="8"/>
      <c r="O738" s="10"/>
    </row>
    <row r="739" spans="1:15" ht="26.4" x14ac:dyDescent="0.3">
      <c r="A739" s="11" t="s">
        <v>3887</v>
      </c>
      <c r="B739" s="12" t="s">
        <v>3729</v>
      </c>
      <c r="C739" s="12" t="s">
        <v>3877</v>
      </c>
      <c r="D739" s="12" t="s">
        <v>3888</v>
      </c>
      <c r="E739" s="12" t="s">
        <v>3889</v>
      </c>
      <c r="F739" s="12" t="s">
        <v>3733</v>
      </c>
      <c r="G739" s="12" t="s">
        <v>3890</v>
      </c>
      <c r="H739" s="12" t="s">
        <v>3891</v>
      </c>
      <c r="I739" s="11" t="s">
        <v>43</v>
      </c>
      <c r="J739" s="8"/>
      <c r="K739" s="8" t="s">
        <v>275</v>
      </c>
      <c r="L739" s="9"/>
      <c r="M739" s="9"/>
      <c r="N739" s="8"/>
      <c r="O739" s="10"/>
    </row>
    <row r="740" spans="1:15" ht="26.4" x14ac:dyDescent="0.3">
      <c r="A740" s="6" t="s">
        <v>3892</v>
      </c>
      <c r="B740" s="7" t="s">
        <v>3729</v>
      </c>
      <c r="C740" s="7" t="s">
        <v>3893</v>
      </c>
      <c r="D740" s="7" t="s">
        <v>3894</v>
      </c>
      <c r="E740" s="7" t="s">
        <v>3895</v>
      </c>
      <c r="F740" s="7" t="s">
        <v>3733</v>
      </c>
      <c r="G740" s="7" t="s">
        <v>3896</v>
      </c>
      <c r="H740" s="7" t="s">
        <v>3897</v>
      </c>
      <c r="I740" s="6" t="s">
        <v>43</v>
      </c>
      <c r="J740" s="8"/>
      <c r="K740" s="8" t="s">
        <v>275</v>
      </c>
      <c r="L740" s="9"/>
      <c r="M740" s="9"/>
      <c r="N740" s="8"/>
      <c r="O740" s="10"/>
    </row>
    <row r="741" spans="1:15" ht="26.4" x14ac:dyDescent="0.3">
      <c r="A741" s="11" t="s">
        <v>3898</v>
      </c>
      <c r="B741" s="12" t="s">
        <v>3729</v>
      </c>
      <c r="C741" s="12" t="s">
        <v>3893</v>
      </c>
      <c r="D741" s="12" t="s">
        <v>3899</v>
      </c>
      <c r="E741" s="12" t="s">
        <v>3900</v>
      </c>
      <c r="F741" s="12" t="s">
        <v>3733</v>
      </c>
      <c r="G741" s="12" t="s">
        <v>3901</v>
      </c>
      <c r="H741" s="12" t="s">
        <v>3902</v>
      </c>
      <c r="I741" s="11" t="s">
        <v>43</v>
      </c>
      <c r="J741" s="8"/>
      <c r="K741" s="8" t="s">
        <v>275</v>
      </c>
      <c r="L741" s="9"/>
      <c r="M741" s="9"/>
      <c r="N741" s="8"/>
      <c r="O741" s="10"/>
    </row>
    <row r="742" spans="1:15" ht="26.4" x14ac:dyDescent="0.3">
      <c r="A742" s="6" t="s">
        <v>3903</v>
      </c>
      <c r="B742" s="7" t="s">
        <v>3729</v>
      </c>
      <c r="C742" s="7" t="s">
        <v>3893</v>
      </c>
      <c r="D742" s="7" t="s">
        <v>3904</v>
      </c>
      <c r="E742" s="7" t="s">
        <v>3905</v>
      </c>
      <c r="F742" s="7" t="s">
        <v>3733</v>
      </c>
      <c r="G742" s="7" t="s">
        <v>3906</v>
      </c>
      <c r="H742" s="7" t="s">
        <v>3907</v>
      </c>
      <c r="I742" s="6" t="s">
        <v>43</v>
      </c>
      <c r="J742" s="8"/>
      <c r="K742" s="8" t="s">
        <v>275</v>
      </c>
      <c r="L742" s="9"/>
      <c r="M742" s="9"/>
      <c r="N742" s="8"/>
      <c r="O742" s="10"/>
    </row>
    <row r="743" spans="1:15" ht="26.4" x14ac:dyDescent="0.3">
      <c r="A743" s="11" t="s">
        <v>3908</v>
      </c>
      <c r="B743" s="12" t="s">
        <v>3729</v>
      </c>
      <c r="C743" s="12" t="s">
        <v>3909</v>
      </c>
      <c r="D743" s="12" t="s">
        <v>3910</v>
      </c>
      <c r="E743" s="12" t="s">
        <v>3911</v>
      </c>
      <c r="F743" s="12" t="s">
        <v>3733</v>
      </c>
      <c r="G743" s="12" t="s">
        <v>3912</v>
      </c>
      <c r="H743" s="12" t="s">
        <v>3913</v>
      </c>
      <c r="I743" s="11" t="s">
        <v>43</v>
      </c>
      <c r="J743" s="8"/>
      <c r="K743" s="8" t="s">
        <v>275</v>
      </c>
      <c r="L743" s="9"/>
      <c r="M743" s="9"/>
      <c r="N743" s="8"/>
      <c r="O743" s="10"/>
    </row>
    <row r="744" spans="1:15" ht="52.8" x14ac:dyDescent="0.3">
      <c r="A744" s="6" t="s">
        <v>3914</v>
      </c>
      <c r="B744" s="7" t="s">
        <v>3729</v>
      </c>
      <c r="C744" s="7" t="s">
        <v>3915</v>
      </c>
      <c r="D744" s="7" t="s">
        <v>3916</v>
      </c>
      <c r="E744" s="7" t="s">
        <v>3917</v>
      </c>
      <c r="F744" s="7" t="s">
        <v>3733</v>
      </c>
      <c r="G744" s="7" t="s">
        <v>3918</v>
      </c>
      <c r="H744" s="7" t="s">
        <v>3919</v>
      </c>
      <c r="I744" s="6" t="s">
        <v>43</v>
      </c>
      <c r="J744" s="8"/>
      <c r="K744" s="8" t="s">
        <v>275</v>
      </c>
      <c r="L744" s="9"/>
      <c r="M744" s="9"/>
      <c r="N744" s="8"/>
      <c r="O744" s="10"/>
    </row>
    <row r="745" spans="1:15" ht="39.6" x14ac:dyDescent="0.3">
      <c r="A745" s="11" t="s">
        <v>3920</v>
      </c>
      <c r="B745" s="12" t="s">
        <v>3729</v>
      </c>
      <c r="C745" s="12" t="s">
        <v>3921</v>
      </c>
      <c r="D745" s="12" t="s">
        <v>3922</v>
      </c>
      <c r="E745" s="12" t="s">
        <v>3923</v>
      </c>
      <c r="F745" s="12" t="s">
        <v>3733</v>
      </c>
      <c r="G745" s="12" t="s">
        <v>3924</v>
      </c>
      <c r="H745" s="12" t="s">
        <v>3925</v>
      </c>
      <c r="I745" s="11" t="s">
        <v>43</v>
      </c>
      <c r="J745" s="8"/>
      <c r="K745" s="8" t="s">
        <v>275</v>
      </c>
      <c r="L745" s="9"/>
      <c r="M745" s="9"/>
      <c r="N745" s="8"/>
      <c r="O745" s="10"/>
    </row>
    <row r="746" spans="1:15" ht="52.8" x14ac:dyDescent="0.3">
      <c r="A746" s="6" t="s">
        <v>3926</v>
      </c>
      <c r="B746" s="7" t="s">
        <v>3729</v>
      </c>
      <c r="C746" s="7" t="s">
        <v>3927</v>
      </c>
      <c r="D746" s="7" t="s">
        <v>3928</v>
      </c>
      <c r="E746" s="7" t="s">
        <v>3929</v>
      </c>
      <c r="F746" s="7" t="s">
        <v>3733</v>
      </c>
      <c r="G746" s="7" t="s">
        <v>3930</v>
      </c>
      <c r="H746" s="7" t="s">
        <v>3931</v>
      </c>
      <c r="I746" s="6" t="s">
        <v>43</v>
      </c>
      <c r="J746" s="8"/>
      <c r="K746" s="8" t="s">
        <v>275</v>
      </c>
      <c r="L746" s="9"/>
      <c r="M746" s="9"/>
      <c r="N746" s="8"/>
      <c r="O746" s="10"/>
    </row>
    <row r="747" spans="1:15" ht="52.8" x14ac:dyDescent="0.3">
      <c r="A747" s="11" t="s">
        <v>3932</v>
      </c>
      <c r="B747" s="12" t="s">
        <v>3729</v>
      </c>
      <c r="C747" s="12" t="s">
        <v>3933</v>
      </c>
      <c r="D747" s="12" t="s">
        <v>3934</v>
      </c>
      <c r="E747" s="12" t="s">
        <v>3935</v>
      </c>
      <c r="F747" s="12" t="s">
        <v>3733</v>
      </c>
      <c r="G747" s="12" t="s">
        <v>3936</v>
      </c>
      <c r="H747" s="12" t="s">
        <v>3937</v>
      </c>
      <c r="I747" s="11" t="s">
        <v>43</v>
      </c>
      <c r="J747" s="8"/>
      <c r="K747" s="8" t="s">
        <v>275</v>
      </c>
      <c r="L747" s="9"/>
      <c r="M747" s="9"/>
      <c r="N747" s="8"/>
      <c r="O747" s="10"/>
    </row>
    <row r="748" spans="1:15" ht="26.4" x14ac:dyDescent="0.3">
      <c r="A748" s="6" t="s">
        <v>3938</v>
      </c>
      <c r="B748" s="7" t="s">
        <v>3729</v>
      </c>
      <c r="C748" s="7" t="s">
        <v>3933</v>
      </c>
      <c r="D748" s="7" t="s">
        <v>3939</v>
      </c>
      <c r="E748" s="7" t="s">
        <v>3940</v>
      </c>
      <c r="F748" s="7" t="s">
        <v>3733</v>
      </c>
      <c r="G748" s="7" t="s">
        <v>3941</v>
      </c>
      <c r="H748" s="7" t="s">
        <v>3942</v>
      </c>
      <c r="I748" s="6" t="s">
        <v>43</v>
      </c>
      <c r="J748" s="8"/>
      <c r="K748" s="8" t="s">
        <v>275</v>
      </c>
      <c r="L748" s="9"/>
      <c r="M748" s="9"/>
      <c r="N748" s="8"/>
      <c r="O748" s="10"/>
    </row>
    <row r="749" spans="1:15" ht="52.8" x14ac:dyDescent="0.3">
      <c r="A749" s="11" t="s">
        <v>3943</v>
      </c>
      <c r="B749" s="12" t="s">
        <v>3729</v>
      </c>
      <c r="C749" s="12" t="s">
        <v>3944</v>
      </c>
      <c r="D749" s="12" t="s">
        <v>3945</v>
      </c>
      <c r="E749" s="12" t="s">
        <v>3946</v>
      </c>
      <c r="F749" s="12" t="s">
        <v>3733</v>
      </c>
      <c r="G749" s="12" t="s">
        <v>3947</v>
      </c>
      <c r="H749" s="12" t="s">
        <v>3948</v>
      </c>
      <c r="I749" s="11" t="s">
        <v>43</v>
      </c>
      <c r="J749" s="8"/>
      <c r="K749" s="8" t="s">
        <v>275</v>
      </c>
      <c r="L749" s="9"/>
      <c r="M749" s="9"/>
      <c r="N749" s="8"/>
      <c r="O749" s="10"/>
    </row>
    <row r="750" spans="1:15" ht="39.6" x14ac:dyDescent="0.3">
      <c r="A750" s="6" t="s">
        <v>3949</v>
      </c>
      <c r="B750" s="7" t="s">
        <v>3729</v>
      </c>
      <c r="C750" s="7" t="s">
        <v>3950</v>
      </c>
      <c r="D750" s="7" t="s">
        <v>3951</v>
      </c>
      <c r="E750" s="7" t="s">
        <v>3952</v>
      </c>
      <c r="F750" s="7" t="s">
        <v>3733</v>
      </c>
      <c r="G750" s="7" t="s">
        <v>3953</v>
      </c>
      <c r="H750" s="7" t="s">
        <v>3954</v>
      </c>
      <c r="I750" s="6" t="s">
        <v>43</v>
      </c>
      <c r="J750" s="8"/>
      <c r="K750" s="8" t="s">
        <v>275</v>
      </c>
      <c r="L750" s="9"/>
      <c r="M750" s="9"/>
      <c r="N750" s="8"/>
      <c r="O750" s="10"/>
    </row>
    <row r="751" spans="1:15" ht="39.6" x14ac:dyDescent="0.3">
      <c r="A751" s="11" t="s">
        <v>3955</v>
      </c>
      <c r="B751" s="12" t="s">
        <v>3729</v>
      </c>
      <c r="C751" s="12" t="s">
        <v>3956</v>
      </c>
      <c r="D751" s="12" t="s">
        <v>3957</v>
      </c>
      <c r="E751" s="12" t="s">
        <v>3958</v>
      </c>
      <c r="F751" s="12" t="s">
        <v>3733</v>
      </c>
      <c r="G751" s="12" t="s">
        <v>3959</v>
      </c>
      <c r="H751" s="12" t="s">
        <v>3960</v>
      </c>
      <c r="I751" s="11" t="s">
        <v>43</v>
      </c>
      <c r="J751" s="8"/>
      <c r="K751" s="8" t="s">
        <v>275</v>
      </c>
      <c r="L751" s="9"/>
      <c r="M751" s="9"/>
      <c r="N751" s="8"/>
      <c r="O751" s="10"/>
    </row>
    <row r="752" spans="1:15" ht="39.6" x14ac:dyDescent="0.3">
      <c r="A752" s="6" t="s">
        <v>3961</v>
      </c>
      <c r="B752" s="7" t="s">
        <v>3729</v>
      </c>
      <c r="C752" s="7" t="s">
        <v>3962</v>
      </c>
      <c r="D752" s="7" t="s">
        <v>3963</v>
      </c>
      <c r="E752" s="7" t="s">
        <v>3964</v>
      </c>
      <c r="F752" s="7" t="s">
        <v>3733</v>
      </c>
      <c r="G752" s="7" t="s">
        <v>3965</v>
      </c>
      <c r="H752" s="7" t="s">
        <v>3966</v>
      </c>
      <c r="I752" s="6" t="s">
        <v>43</v>
      </c>
      <c r="J752" s="8"/>
      <c r="K752" s="8" t="s">
        <v>275</v>
      </c>
      <c r="L752" s="9"/>
      <c r="M752" s="9"/>
      <c r="N752" s="8"/>
      <c r="O752" s="10"/>
    </row>
    <row r="753" spans="1:15" ht="26.4" x14ac:dyDescent="0.3">
      <c r="A753" s="11" t="s">
        <v>3967</v>
      </c>
      <c r="B753" s="12" t="s">
        <v>3729</v>
      </c>
      <c r="C753" s="12" t="s">
        <v>3968</v>
      </c>
      <c r="D753" s="12" t="s">
        <v>3969</v>
      </c>
      <c r="E753" s="12" t="s">
        <v>3970</v>
      </c>
      <c r="F753" s="12" t="s">
        <v>3733</v>
      </c>
      <c r="G753" s="12" t="s">
        <v>77</v>
      </c>
      <c r="H753" s="12" t="s">
        <v>3971</v>
      </c>
      <c r="I753" s="11" t="s">
        <v>43</v>
      </c>
      <c r="J753" s="8"/>
      <c r="K753" s="8" t="s">
        <v>275</v>
      </c>
      <c r="L753" s="9"/>
      <c r="M753" s="9"/>
      <c r="N753" s="8"/>
      <c r="O753" s="10"/>
    </row>
    <row r="754" spans="1:15" ht="39.6" x14ac:dyDescent="0.3">
      <c r="A754" s="6" t="s">
        <v>3972</v>
      </c>
      <c r="B754" s="7" t="s">
        <v>3729</v>
      </c>
      <c r="C754" s="7" t="s">
        <v>3135</v>
      </c>
      <c r="D754" s="7" t="s">
        <v>3973</v>
      </c>
      <c r="E754" s="7" t="s">
        <v>3974</v>
      </c>
      <c r="F754" s="7" t="s">
        <v>2238</v>
      </c>
      <c r="G754" s="7" t="s">
        <v>3975</v>
      </c>
      <c r="H754" s="7" t="s">
        <v>3976</v>
      </c>
      <c r="I754" s="6" t="s">
        <v>43</v>
      </c>
      <c r="J754" s="8"/>
      <c r="K754" s="8" t="s">
        <v>275</v>
      </c>
      <c r="L754" s="9"/>
      <c r="M754" s="9"/>
      <c r="N754" s="8"/>
      <c r="O754" s="10"/>
    </row>
    <row r="755" spans="1:15" ht="39.6" x14ac:dyDescent="0.3">
      <c r="A755" s="11" t="s">
        <v>3977</v>
      </c>
      <c r="B755" s="12" t="s">
        <v>3729</v>
      </c>
      <c r="C755" s="12" t="s">
        <v>3135</v>
      </c>
      <c r="D755" s="12" t="s">
        <v>3978</v>
      </c>
      <c r="E755" s="12" t="s">
        <v>3979</v>
      </c>
      <c r="F755" s="12" t="s">
        <v>2238</v>
      </c>
      <c r="G755" s="12" t="s">
        <v>3696</v>
      </c>
      <c r="H755" s="12" t="s">
        <v>3980</v>
      </c>
      <c r="I755" s="11" t="s">
        <v>43</v>
      </c>
      <c r="J755" s="8"/>
      <c r="K755" s="8" t="s">
        <v>275</v>
      </c>
      <c r="L755" s="9"/>
      <c r="M755" s="9"/>
      <c r="N755" s="8"/>
      <c r="O755" s="10"/>
    </row>
    <row r="756" spans="1:15" ht="39.6" x14ac:dyDescent="0.3">
      <c r="A756" s="6" t="s">
        <v>3981</v>
      </c>
      <c r="B756" s="7" t="s">
        <v>3729</v>
      </c>
      <c r="C756" s="7" t="s">
        <v>3135</v>
      </c>
      <c r="D756" s="7" t="s">
        <v>3982</v>
      </c>
      <c r="E756" s="7" t="s">
        <v>3983</v>
      </c>
      <c r="F756" s="7" t="s">
        <v>2238</v>
      </c>
      <c r="G756" s="7" t="s">
        <v>3984</v>
      </c>
      <c r="H756" s="7" t="s">
        <v>3985</v>
      </c>
      <c r="I756" s="6" t="s">
        <v>43</v>
      </c>
      <c r="J756" s="8"/>
      <c r="K756" s="8" t="s">
        <v>275</v>
      </c>
      <c r="L756" s="9"/>
      <c r="M756" s="9"/>
      <c r="N756" s="8"/>
      <c r="O756" s="10"/>
    </row>
    <row r="757" spans="1:15" ht="39.6" x14ac:dyDescent="0.3">
      <c r="A757" s="11" t="s">
        <v>3986</v>
      </c>
      <c r="B757" s="12" t="s">
        <v>3729</v>
      </c>
      <c r="C757" s="12" t="s">
        <v>3135</v>
      </c>
      <c r="D757" s="12" t="s">
        <v>3987</v>
      </c>
      <c r="E757" s="12" t="s">
        <v>3988</v>
      </c>
      <c r="F757" s="12" t="s">
        <v>2238</v>
      </c>
      <c r="G757" s="12" t="s">
        <v>3989</v>
      </c>
      <c r="H757" s="12" t="s">
        <v>3990</v>
      </c>
      <c r="I757" s="11" t="s">
        <v>43</v>
      </c>
      <c r="J757" s="8"/>
      <c r="K757" s="8" t="s">
        <v>275</v>
      </c>
      <c r="L757" s="9"/>
      <c r="M757" s="9"/>
      <c r="N757" s="8"/>
      <c r="O757" s="10"/>
    </row>
  </sheetData>
  <autoFilter ref="A1:O757" xr:uid="{00000000-0009-0000-0000-000001000000}"/>
  <conditionalFormatting sqref="K2:K757">
    <cfRule type="expression" dxfId="4" priority="1">
      <formula>$K2="Done"</formula>
    </cfRule>
    <cfRule type="expression" dxfId="3" priority="2">
      <formula>$K2="In progress"</formula>
    </cfRule>
    <cfRule type="expression" dxfId="2" priority="3">
      <formula>$K2="Blocked"</formula>
    </cfRule>
    <cfRule type="expression" dxfId="1" priority="4">
      <formula>$K2="Not applicable"</formula>
    </cfRule>
  </conditionalFormatting>
  <dataValidations count="5">
    <dataValidation type="list" allowBlank="1" showErrorMessage="1" errorTitle="Choose from the list" error="Pick one of: Yes, Customer web page, Server only (no screen), Web only (platform console), No - not in web app" sqref="I2:I757" xr:uid="{00000000-0002-0000-0100-000000000000}">
      <formula1>"Yes,Customer web page,Server only (no screen),Web only (platform console),No - not in web app"</formula1>
    </dataValidation>
    <dataValidation type="list" allowBlank="1" showErrorMessage="1" errorTitle="Choose from the list" error="Pick High, Medium or Low" sqref="J2:J757" xr:uid="{00000000-0002-0000-0100-000001000000}">
      <formula1>"High,Medium,Low"</formula1>
    </dataValidation>
    <dataValidation type="list" allowBlank="1" showErrorMessage="1" errorTitle="Choose from the list" error="Pick one of: Not started, In progress, Done, Blocked, Not applicable" sqref="K2:K757" xr:uid="{00000000-0002-0000-0100-000002000000}">
      <formula1>"Not started,In progress,Done,Blocked,Not applicable"</formula1>
    </dataValidation>
    <dataValidation type="list" allowBlank="1" showErrorMessage="1" errorTitle="Choose from the list" error="Pick Yes or No" sqref="N2:N757" xr:uid="{00000000-0002-0000-0100-000003000000}">
      <formula1>"Yes,No"</formula1>
    </dataValidation>
    <dataValidation type="date" operator="greaterThan" allowBlank="1" showErrorMessage="1" error="Enter a date, e.g. 25-Oct-2026" sqref="O2:O757" xr:uid="{00000000-0002-0000-0100-000004000000}">
      <formula1>DATE(2020,1,1)</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3"/>
  <sheetViews>
    <sheetView workbookViewId="0">
      <pane xSplit="1" ySplit="4" topLeftCell="B5" activePane="bottomRight" state="frozen"/>
      <selection pane="topRight"/>
      <selection pane="bottomLeft"/>
      <selection pane="bottomRight"/>
    </sheetView>
  </sheetViews>
  <sheetFormatPr defaultRowHeight="14.4" x14ac:dyDescent="0.3"/>
  <cols>
    <col min="1" max="1" width="38" customWidth="1"/>
    <col min="2" max="2" width="11" customWidth="1"/>
    <col min="3" max="4" width="12" customWidth="1"/>
    <col min="5" max="6" width="10" customWidth="1"/>
    <col min="7" max="7" width="15" customWidth="1"/>
    <col min="8" max="8" width="18" customWidth="1"/>
    <col min="9" max="9" width="10" customWidth="1"/>
  </cols>
  <sheetData>
    <row r="1" spans="1:9" ht="21" x14ac:dyDescent="0.4">
      <c r="A1" s="1" t="s">
        <v>3991</v>
      </c>
    </row>
    <row r="2" spans="1:9" x14ac:dyDescent="0.3">
      <c r="A2" s="13" t="s">
        <v>3992</v>
      </c>
    </row>
    <row r="4" spans="1:9" ht="26.4" x14ac:dyDescent="0.3">
      <c r="A4" s="5" t="s">
        <v>62</v>
      </c>
      <c r="B4" s="5" t="s">
        <v>3993</v>
      </c>
      <c r="C4" s="5" t="s">
        <v>79</v>
      </c>
      <c r="D4" s="5" t="s">
        <v>3994</v>
      </c>
      <c r="E4" s="5" t="s">
        <v>29</v>
      </c>
      <c r="F4" s="5" t="s">
        <v>3995</v>
      </c>
      <c r="G4" s="5" t="s">
        <v>275</v>
      </c>
      <c r="H4" s="5" t="s">
        <v>3996</v>
      </c>
      <c r="I4" s="5" t="s">
        <v>3997</v>
      </c>
    </row>
    <row r="5" spans="1:9" x14ac:dyDescent="0.3">
      <c r="A5" s="14" t="s">
        <v>72</v>
      </c>
      <c r="B5" s="15">
        <f>COUNTIFS(Checklist!$B$2:$B$757,$A5)</f>
        <v>25</v>
      </c>
      <c r="C5" s="15">
        <f>COUNTIFS(Checklist!$B$2:$B$757,$A5,Checklist!$K$2:$K$757,"Not started")</f>
        <v>25</v>
      </c>
      <c r="D5" s="15">
        <f>COUNTIFS(Checklist!$B$2:$B$757,$A5,Checklist!$K$2:$K$757,"In progress")</f>
        <v>0</v>
      </c>
      <c r="E5" s="15">
        <f>COUNTIFS(Checklist!$B$2:$B$757,$A5,Checklist!$K$2:$K$757,"Done")</f>
        <v>0</v>
      </c>
      <c r="F5" s="15">
        <f>COUNTIFS(Checklist!$B$2:$B$757,$A5,Checklist!$K$2:$K$757,"Blocked")</f>
        <v>0</v>
      </c>
      <c r="G5" s="15">
        <f>COUNTIFS(Checklist!$B$2:$B$757,$A5,Checklist!$K$2:$K$757,"Not applicable")</f>
        <v>0</v>
      </c>
      <c r="H5" s="15">
        <f t="shared" ref="H5:H42" si="0">B5-G5</f>
        <v>25</v>
      </c>
      <c r="I5" s="16">
        <f t="shared" ref="I5:I43" si="1">IF(H5=0,"-",E5/H5)</f>
        <v>0</v>
      </c>
    </row>
    <row r="6" spans="1:9" x14ac:dyDescent="0.3">
      <c r="A6" s="14" t="s">
        <v>206</v>
      </c>
      <c r="B6" s="15">
        <f>COUNTIFS(Checklist!$B$2:$B$757,$A6)</f>
        <v>26</v>
      </c>
      <c r="C6" s="15">
        <f>COUNTIFS(Checklist!$B$2:$B$757,$A6,Checklist!$K$2:$K$757,"Not started")</f>
        <v>25</v>
      </c>
      <c r="D6" s="15">
        <f>COUNTIFS(Checklist!$B$2:$B$757,$A6,Checklist!$K$2:$K$757,"In progress")</f>
        <v>0</v>
      </c>
      <c r="E6" s="15">
        <f>COUNTIFS(Checklist!$B$2:$B$757,$A6,Checklist!$K$2:$K$757,"Done")</f>
        <v>0</v>
      </c>
      <c r="F6" s="15">
        <f>COUNTIFS(Checklist!$B$2:$B$757,$A6,Checklist!$K$2:$K$757,"Blocked")</f>
        <v>0</v>
      </c>
      <c r="G6" s="15">
        <f>COUNTIFS(Checklist!$B$2:$B$757,$A6,Checklist!$K$2:$K$757,"Not applicable")</f>
        <v>1</v>
      </c>
      <c r="H6" s="15">
        <f t="shared" si="0"/>
        <v>25</v>
      </c>
      <c r="I6" s="16">
        <f t="shared" si="1"/>
        <v>0</v>
      </c>
    </row>
    <row r="7" spans="1:9" x14ac:dyDescent="0.3">
      <c r="A7" s="14" t="s">
        <v>339</v>
      </c>
      <c r="B7" s="15">
        <f>COUNTIFS(Checklist!$B$2:$B$757,$A7)</f>
        <v>15</v>
      </c>
      <c r="C7" s="15">
        <f>COUNTIFS(Checklist!$B$2:$B$757,$A7,Checklist!$K$2:$K$757,"Not started")</f>
        <v>15</v>
      </c>
      <c r="D7" s="15">
        <f>COUNTIFS(Checklist!$B$2:$B$757,$A7,Checklist!$K$2:$K$757,"In progress")</f>
        <v>0</v>
      </c>
      <c r="E7" s="15">
        <f>COUNTIFS(Checklist!$B$2:$B$757,$A7,Checklist!$K$2:$K$757,"Done")</f>
        <v>0</v>
      </c>
      <c r="F7" s="15">
        <f>COUNTIFS(Checklist!$B$2:$B$757,$A7,Checklist!$K$2:$K$757,"Blocked")</f>
        <v>0</v>
      </c>
      <c r="G7" s="15">
        <f>COUNTIFS(Checklist!$B$2:$B$757,$A7,Checklist!$K$2:$K$757,"Not applicable")</f>
        <v>0</v>
      </c>
      <c r="H7" s="15">
        <f t="shared" si="0"/>
        <v>15</v>
      </c>
      <c r="I7" s="16">
        <f t="shared" si="1"/>
        <v>0</v>
      </c>
    </row>
    <row r="8" spans="1:9" x14ac:dyDescent="0.3">
      <c r="A8" s="14" t="s">
        <v>393</v>
      </c>
      <c r="B8" s="15">
        <f>COUNTIFS(Checklist!$B$2:$B$757,$A8)</f>
        <v>12</v>
      </c>
      <c r="C8" s="15">
        <f>COUNTIFS(Checklist!$B$2:$B$757,$A8,Checklist!$K$2:$K$757,"Not started")</f>
        <v>12</v>
      </c>
      <c r="D8" s="15">
        <f>COUNTIFS(Checklist!$B$2:$B$757,$A8,Checklist!$K$2:$K$757,"In progress")</f>
        <v>0</v>
      </c>
      <c r="E8" s="15">
        <f>COUNTIFS(Checklist!$B$2:$B$757,$A8,Checklist!$K$2:$K$757,"Done")</f>
        <v>0</v>
      </c>
      <c r="F8" s="15">
        <f>COUNTIFS(Checklist!$B$2:$B$757,$A8,Checklist!$K$2:$K$757,"Blocked")</f>
        <v>0</v>
      </c>
      <c r="G8" s="15">
        <f>COUNTIFS(Checklist!$B$2:$B$757,$A8,Checklist!$K$2:$K$757,"Not applicable")</f>
        <v>0</v>
      </c>
      <c r="H8" s="15">
        <f t="shared" si="0"/>
        <v>12</v>
      </c>
      <c r="I8" s="16">
        <f t="shared" si="1"/>
        <v>0</v>
      </c>
    </row>
    <row r="9" spans="1:9" x14ac:dyDescent="0.3">
      <c r="A9" s="14" t="s">
        <v>487</v>
      </c>
      <c r="B9" s="15">
        <f>COUNTIFS(Checklist!$B$2:$B$757,$A9)</f>
        <v>23</v>
      </c>
      <c r="C9" s="15">
        <f>COUNTIFS(Checklist!$B$2:$B$757,$A9,Checklist!$K$2:$K$757,"Not started")</f>
        <v>23</v>
      </c>
      <c r="D9" s="15">
        <f>COUNTIFS(Checklist!$B$2:$B$757,$A9,Checklist!$K$2:$K$757,"In progress")</f>
        <v>0</v>
      </c>
      <c r="E9" s="15">
        <f>COUNTIFS(Checklist!$B$2:$B$757,$A9,Checklist!$K$2:$K$757,"Done")</f>
        <v>0</v>
      </c>
      <c r="F9" s="15">
        <f>COUNTIFS(Checklist!$B$2:$B$757,$A9,Checklist!$K$2:$K$757,"Blocked")</f>
        <v>0</v>
      </c>
      <c r="G9" s="15">
        <f>COUNTIFS(Checklist!$B$2:$B$757,$A9,Checklist!$K$2:$K$757,"Not applicable")</f>
        <v>0</v>
      </c>
      <c r="H9" s="15">
        <f t="shared" si="0"/>
        <v>23</v>
      </c>
      <c r="I9" s="16">
        <f t="shared" si="1"/>
        <v>0</v>
      </c>
    </row>
    <row r="10" spans="1:9" x14ac:dyDescent="0.3">
      <c r="A10" s="14" t="s">
        <v>594</v>
      </c>
      <c r="B10" s="15">
        <f>COUNTIFS(Checklist!$B$2:$B$757,$A10)</f>
        <v>40</v>
      </c>
      <c r="C10" s="15">
        <f>COUNTIFS(Checklist!$B$2:$B$757,$A10,Checklist!$K$2:$K$757,"Not started")</f>
        <v>39</v>
      </c>
      <c r="D10" s="15">
        <f>COUNTIFS(Checklist!$B$2:$B$757,$A10,Checklist!$K$2:$K$757,"In progress")</f>
        <v>0</v>
      </c>
      <c r="E10" s="15">
        <f>COUNTIFS(Checklist!$B$2:$B$757,$A10,Checklist!$K$2:$K$757,"Done")</f>
        <v>0</v>
      </c>
      <c r="F10" s="15">
        <f>COUNTIFS(Checklist!$B$2:$B$757,$A10,Checklist!$K$2:$K$757,"Blocked")</f>
        <v>0</v>
      </c>
      <c r="G10" s="15">
        <f>COUNTIFS(Checklist!$B$2:$B$757,$A10,Checklist!$K$2:$K$757,"Not applicable")</f>
        <v>1</v>
      </c>
      <c r="H10" s="15">
        <f t="shared" si="0"/>
        <v>39</v>
      </c>
      <c r="I10" s="16">
        <f t="shared" si="1"/>
        <v>0</v>
      </c>
    </row>
    <row r="11" spans="1:9" x14ac:dyDescent="0.3">
      <c r="A11" s="14" t="s">
        <v>820</v>
      </c>
      <c r="B11" s="15">
        <f>COUNTIFS(Checklist!$B$2:$B$757,$A11)</f>
        <v>24</v>
      </c>
      <c r="C11" s="15">
        <f>COUNTIFS(Checklist!$B$2:$B$757,$A11,Checklist!$K$2:$K$757,"Not started")</f>
        <v>24</v>
      </c>
      <c r="D11" s="15">
        <f>COUNTIFS(Checklist!$B$2:$B$757,$A11,Checklist!$K$2:$K$757,"In progress")</f>
        <v>0</v>
      </c>
      <c r="E11" s="15">
        <f>COUNTIFS(Checklist!$B$2:$B$757,$A11,Checklist!$K$2:$K$757,"Done")</f>
        <v>0</v>
      </c>
      <c r="F11" s="15">
        <f>COUNTIFS(Checklist!$B$2:$B$757,$A11,Checklist!$K$2:$K$757,"Blocked")</f>
        <v>0</v>
      </c>
      <c r="G11" s="15">
        <f>COUNTIFS(Checklist!$B$2:$B$757,$A11,Checklist!$K$2:$K$757,"Not applicable")</f>
        <v>0</v>
      </c>
      <c r="H11" s="15">
        <f t="shared" si="0"/>
        <v>24</v>
      </c>
      <c r="I11" s="16">
        <f t="shared" si="1"/>
        <v>0</v>
      </c>
    </row>
    <row r="12" spans="1:9" x14ac:dyDescent="0.3">
      <c r="A12" s="14" t="s">
        <v>948</v>
      </c>
      <c r="B12" s="15">
        <f>COUNTIFS(Checklist!$B$2:$B$757,$A12)</f>
        <v>7</v>
      </c>
      <c r="C12" s="15">
        <f>COUNTIFS(Checklist!$B$2:$B$757,$A12,Checklist!$K$2:$K$757,"Not started")</f>
        <v>6</v>
      </c>
      <c r="D12" s="15">
        <f>COUNTIFS(Checklist!$B$2:$B$757,$A12,Checklist!$K$2:$K$757,"In progress")</f>
        <v>0</v>
      </c>
      <c r="E12" s="15">
        <f>COUNTIFS(Checklist!$B$2:$B$757,$A12,Checklist!$K$2:$K$757,"Done")</f>
        <v>0</v>
      </c>
      <c r="F12" s="15">
        <f>COUNTIFS(Checklist!$B$2:$B$757,$A12,Checklist!$K$2:$K$757,"Blocked")</f>
        <v>0</v>
      </c>
      <c r="G12" s="15">
        <f>COUNTIFS(Checklist!$B$2:$B$757,$A12,Checklist!$K$2:$K$757,"Not applicable")</f>
        <v>1</v>
      </c>
      <c r="H12" s="15">
        <f t="shared" si="0"/>
        <v>6</v>
      </c>
      <c r="I12" s="16">
        <f t="shared" si="1"/>
        <v>0</v>
      </c>
    </row>
    <row r="13" spans="1:9" x14ac:dyDescent="0.3">
      <c r="A13" s="14" t="s">
        <v>987</v>
      </c>
      <c r="B13" s="15">
        <f>COUNTIFS(Checklist!$B$2:$B$757,$A13)</f>
        <v>2</v>
      </c>
      <c r="C13" s="15">
        <f>COUNTIFS(Checklist!$B$2:$B$757,$A13,Checklist!$K$2:$K$757,"Not started")</f>
        <v>2</v>
      </c>
      <c r="D13" s="15">
        <f>COUNTIFS(Checklist!$B$2:$B$757,$A13,Checklist!$K$2:$K$757,"In progress")</f>
        <v>0</v>
      </c>
      <c r="E13" s="15">
        <f>COUNTIFS(Checklist!$B$2:$B$757,$A13,Checklist!$K$2:$K$757,"Done")</f>
        <v>0</v>
      </c>
      <c r="F13" s="15">
        <f>COUNTIFS(Checklist!$B$2:$B$757,$A13,Checklist!$K$2:$K$757,"Blocked")</f>
        <v>0</v>
      </c>
      <c r="G13" s="15">
        <f>COUNTIFS(Checklist!$B$2:$B$757,$A13,Checklist!$K$2:$K$757,"Not applicable")</f>
        <v>0</v>
      </c>
      <c r="H13" s="15">
        <f t="shared" si="0"/>
        <v>2</v>
      </c>
      <c r="I13" s="16">
        <f t="shared" si="1"/>
        <v>0</v>
      </c>
    </row>
    <row r="14" spans="1:9" x14ac:dyDescent="0.3">
      <c r="A14" s="14" t="s">
        <v>1000</v>
      </c>
      <c r="B14" s="15">
        <f>COUNTIFS(Checklist!$B$2:$B$757,$A14)</f>
        <v>3</v>
      </c>
      <c r="C14" s="15">
        <f>COUNTIFS(Checklist!$B$2:$B$757,$A14,Checklist!$K$2:$K$757,"Not started")</f>
        <v>3</v>
      </c>
      <c r="D14" s="15">
        <f>COUNTIFS(Checklist!$B$2:$B$757,$A14,Checklist!$K$2:$K$757,"In progress")</f>
        <v>0</v>
      </c>
      <c r="E14" s="15">
        <f>COUNTIFS(Checklist!$B$2:$B$757,$A14,Checklist!$K$2:$K$757,"Done")</f>
        <v>0</v>
      </c>
      <c r="F14" s="15">
        <f>COUNTIFS(Checklist!$B$2:$B$757,$A14,Checklist!$K$2:$K$757,"Blocked")</f>
        <v>0</v>
      </c>
      <c r="G14" s="15">
        <f>COUNTIFS(Checklist!$B$2:$B$757,$A14,Checklist!$K$2:$K$757,"Not applicable")</f>
        <v>0</v>
      </c>
      <c r="H14" s="15">
        <f t="shared" si="0"/>
        <v>3</v>
      </c>
      <c r="I14" s="16">
        <f t="shared" si="1"/>
        <v>0</v>
      </c>
    </row>
    <row r="15" spans="1:9" x14ac:dyDescent="0.3">
      <c r="A15" s="14" t="s">
        <v>1015</v>
      </c>
      <c r="B15" s="15">
        <f>COUNTIFS(Checklist!$B$2:$B$757,$A15)</f>
        <v>1</v>
      </c>
      <c r="C15" s="15">
        <f>COUNTIFS(Checklist!$B$2:$B$757,$A15,Checklist!$K$2:$K$757,"Not started")</f>
        <v>1</v>
      </c>
      <c r="D15" s="15">
        <f>COUNTIFS(Checklist!$B$2:$B$757,$A15,Checklist!$K$2:$K$757,"In progress")</f>
        <v>0</v>
      </c>
      <c r="E15" s="15">
        <f>COUNTIFS(Checklist!$B$2:$B$757,$A15,Checklist!$K$2:$K$757,"Done")</f>
        <v>0</v>
      </c>
      <c r="F15" s="15">
        <f>COUNTIFS(Checklist!$B$2:$B$757,$A15,Checklist!$K$2:$K$757,"Blocked")</f>
        <v>0</v>
      </c>
      <c r="G15" s="15">
        <f>COUNTIFS(Checklist!$B$2:$B$757,$A15,Checklist!$K$2:$K$757,"Not applicable")</f>
        <v>0</v>
      </c>
      <c r="H15" s="15">
        <f t="shared" si="0"/>
        <v>1</v>
      </c>
      <c r="I15" s="16">
        <f t="shared" si="1"/>
        <v>0</v>
      </c>
    </row>
    <row r="16" spans="1:9" x14ac:dyDescent="0.3">
      <c r="A16" s="14" t="s">
        <v>1022</v>
      </c>
      <c r="B16" s="15">
        <f>COUNTIFS(Checklist!$B$2:$B$757,$A16)</f>
        <v>2</v>
      </c>
      <c r="C16" s="15">
        <f>COUNTIFS(Checklist!$B$2:$B$757,$A16,Checklist!$K$2:$K$757,"Not started")</f>
        <v>2</v>
      </c>
      <c r="D16" s="15">
        <f>COUNTIFS(Checklist!$B$2:$B$757,$A16,Checklist!$K$2:$K$757,"In progress")</f>
        <v>0</v>
      </c>
      <c r="E16" s="15">
        <f>COUNTIFS(Checklist!$B$2:$B$757,$A16,Checklist!$K$2:$K$757,"Done")</f>
        <v>0</v>
      </c>
      <c r="F16" s="15">
        <f>COUNTIFS(Checklist!$B$2:$B$757,$A16,Checklist!$K$2:$K$757,"Blocked")</f>
        <v>0</v>
      </c>
      <c r="G16" s="15">
        <f>COUNTIFS(Checklist!$B$2:$B$757,$A16,Checklist!$K$2:$K$757,"Not applicable")</f>
        <v>0</v>
      </c>
      <c r="H16" s="15">
        <f t="shared" si="0"/>
        <v>2</v>
      </c>
      <c r="I16" s="16">
        <f t="shared" si="1"/>
        <v>0</v>
      </c>
    </row>
    <row r="17" spans="1:9" x14ac:dyDescent="0.3">
      <c r="A17" s="14" t="s">
        <v>1035</v>
      </c>
      <c r="B17" s="15">
        <f>COUNTIFS(Checklist!$B$2:$B$757,$A17)</f>
        <v>72</v>
      </c>
      <c r="C17" s="15">
        <f>COUNTIFS(Checklist!$B$2:$B$757,$A17,Checklist!$K$2:$K$757,"Not started")</f>
        <v>72</v>
      </c>
      <c r="D17" s="15">
        <f>COUNTIFS(Checklist!$B$2:$B$757,$A17,Checklist!$K$2:$K$757,"In progress")</f>
        <v>0</v>
      </c>
      <c r="E17" s="15">
        <f>COUNTIFS(Checklist!$B$2:$B$757,$A17,Checklist!$K$2:$K$757,"Done")</f>
        <v>0</v>
      </c>
      <c r="F17" s="15">
        <f>COUNTIFS(Checklist!$B$2:$B$757,$A17,Checklist!$K$2:$K$757,"Blocked")</f>
        <v>0</v>
      </c>
      <c r="G17" s="15">
        <f>COUNTIFS(Checklist!$B$2:$B$757,$A17,Checklist!$K$2:$K$757,"Not applicable")</f>
        <v>0</v>
      </c>
      <c r="H17" s="15">
        <f t="shared" si="0"/>
        <v>72</v>
      </c>
      <c r="I17" s="16">
        <f t="shared" si="1"/>
        <v>0</v>
      </c>
    </row>
    <row r="18" spans="1:9" x14ac:dyDescent="0.3">
      <c r="A18" s="14" t="s">
        <v>1386</v>
      </c>
      <c r="B18" s="15">
        <f>COUNTIFS(Checklist!$B$2:$B$757,$A18)</f>
        <v>2</v>
      </c>
      <c r="C18" s="15">
        <f>COUNTIFS(Checklist!$B$2:$B$757,$A18,Checklist!$K$2:$K$757,"Not started")</f>
        <v>2</v>
      </c>
      <c r="D18" s="15">
        <f>COUNTIFS(Checklist!$B$2:$B$757,$A18,Checklist!$K$2:$K$757,"In progress")</f>
        <v>0</v>
      </c>
      <c r="E18" s="15">
        <f>COUNTIFS(Checklist!$B$2:$B$757,$A18,Checklist!$K$2:$K$757,"Done")</f>
        <v>0</v>
      </c>
      <c r="F18" s="15">
        <f>COUNTIFS(Checklist!$B$2:$B$757,$A18,Checklist!$K$2:$K$757,"Blocked")</f>
        <v>0</v>
      </c>
      <c r="G18" s="15">
        <f>COUNTIFS(Checklist!$B$2:$B$757,$A18,Checklist!$K$2:$K$757,"Not applicable")</f>
        <v>0</v>
      </c>
      <c r="H18" s="15">
        <f t="shared" si="0"/>
        <v>2</v>
      </c>
      <c r="I18" s="16">
        <f t="shared" si="1"/>
        <v>0</v>
      </c>
    </row>
    <row r="19" spans="1:9" x14ac:dyDescent="0.3">
      <c r="A19" s="14" t="s">
        <v>370</v>
      </c>
      <c r="B19" s="15">
        <f>COUNTIFS(Checklist!$B$2:$B$757,$A19)</f>
        <v>52</v>
      </c>
      <c r="C19" s="15">
        <f>COUNTIFS(Checklist!$B$2:$B$757,$A19,Checklist!$K$2:$K$757,"Not started")</f>
        <v>52</v>
      </c>
      <c r="D19" s="15">
        <f>COUNTIFS(Checklist!$B$2:$B$757,$A19,Checklist!$K$2:$K$757,"In progress")</f>
        <v>0</v>
      </c>
      <c r="E19" s="15">
        <f>COUNTIFS(Checklist!$B$2:$B$757,$A19,Checklist!$K$2:$K$757,"Done")</f>
        <v>0</v>
      </c>
      <c r="F19" s="15">
        <f>COUNTIFS(Checklist!$B$2:$B$757,$A19,Checklist!$K$2:$K$757,"Blocked")</f>
        <v>0</v>
      </c>
      <c r="G19" s="15">
        <f>COUNTIFS(Checklist!$B$2:$B$757,$A19,Checklist!$K$2:$K$757,"Not applicable")</f>
        <v>0</v>
      </c>
      <c r="H19" s="15">
        <f t="shared" si="0"/>
        <v>52</v>
      </c>
      <c r="I19" s="16">
        <f t="shared" si="1"/>
        <v>0</v>
      </c>
    </row>
    <row r="20" spans="1:9" x14ac:dyDescent="0.3">
      <c r="A20" s="14" t="s">
        <v>1659</v>
      </c>
      <c r="B20" s="15">
        <f>COUNTIFS(Checklist!$B$2:$B$757,$A20)</f>
        <v>3</v>
      </c>
      <c r="C20" s="15">
        <f>COUNTIFS(Checklist!$B$2:$B$757,$A20,Checklist!$K$2:$K$757,"Not started")</f>
        <v>3</v>
      </c>
      <c r="D20" s="15">
        <f>COUNTIFS(Checklist!$B$2:$B$757,$A20,Checklist!$K$2:$K$757,"In progress")</f>
        <v>0</v>
      </c>
      <c r="E20" s="15">
        <f>COUNTIFS(Checklist!$B$2:$B$757,$A20,Checklist!$K$2:$K$757,"Done")</f>
        <v>0</v>
      </c>
      <c r="F20" s="15">
        <f>COUNTIFS(Checklist!$B$2:$B$757,$A20,Checklist!$K$2:$K$757,"Blocked")</f>
        <v>0</v>
      </c>
      <c r="G20" s="15">
        <f>COUNTIFS(Checklist!$B$2:$B$757,$A20,Checklist!$K$2:$K$757,"Not applicable")</f>
        <v>0</v>
      </c>
      <c r="H20" s="15">
        <f t="shared" si="0"/>
        <v>3</v>
      </c>
      <c r="I20" s="16">
        <f t="shared" si="1"/>
        <v>0</v>
      </c>
    </row>
    <row r="21" spans="1:9" x14ac:dyDescent="0.3">
      <c r="A21" s="14" t="s">
        <v>1680</v>
      </c>
      <c r="B21" s="15">
        <f>COUNTIFS(Checklist!$B$2:$B$757,$A21)</f>
        <v>51</v>
      </c>
      <c r="C21" s="15">
        <f>COUNTIFS(Checklist!$B$2:$B$757,$A21,Checklist!$K$2:$K$757,"Not started")</f>
        <v>48</v>
      </c>
      <c r="D21" s="15">
        <f>COUNTIFS(Checklist!$B$2:$B$757,$A21,Checklist!$K$2:$K$757,"In progress")</f>
        <v>0</v>
      </c>
      <c r="E21" s="15">
        <f>COUNTIFS(Checklist!$B$2:$B$757,$A21,Checklist!$K$2:$K$757,"Done")</f>
        <v>0</v>
      </c>
      <c r="F21" s="15">
        <f>COUNTIFS(Checklist!$B$2:$B$757,$A21,Checklist!$K$2:$K$757,"Blocked")</f>
        <v>0</v>
      </c>
      <c r="G21" s="15">
        <f>COUNTIFS(Checklist!$B$2:$B$757,$A21,Checklist!$K$2:$K$757,"Not applicable")</f>
        <v>3</v>
      </c>
      <c r="H21" s="15">
        <f t="shared" si="0"/>
        <v>48</v>
      </c>
      <c r="I21" s="16">
        <f t="shared" si="1"/>
        <v>0</v>
      </c>
    </row>
    <row r="22" spans="1:9" x14ac:dyDescent="0.3">
      <c r="A22" s="14" t="s">
        <v>1956</v>
      </c>
      <c r="B22" s="15">
        <f>COUNTIFS(Checklist!$B$2:$B$757,$A22)</f>
        <v>55</v>
      </c>
      <c r="C22" s="15">
        <f>COUNTIFS(Checklist!$B$2:$B$757,$A22,Checklist!$K$2:$K$757,"Not started")</f>
        <v>55</v>
      </c>
      <c r="D22" s="15">
        <f>COUNTIFS(Checklist!$B$2:$B$757,$A22,Checklist!$K$2:$K$757,"In progress")</f>
        <v>0</v>
      </c>
      <c r="E22" s="15">
        <f>COUNTIFS(Checklist!$B$2:$B$757,$A22,Checklist!$K$2:$K$757,"Done")</f>
        <v>0</v>
      </c>
      <c r="F22" s="15">
        <f>COUNTIFS(Checklist!$B$2:$B$757,$A22,Checklist!$K$2:$K$757,"Blocked")</f>
        <v>0</v>
      </c>
      <c r="G22" s="15">
        <f>COUNTIFS(Checklist!$B$2:$B$757,$A22,Checklist!$K$2:$K$757,"Not applicable")</f>
        <v>0</v>
      </c>
      <c r="H22" s="15">
        <f t="shared" si="0"/>
        <v>55</v>
      </c>
      <c r="I22" s="16">
        <f t="shared" si="1"/>
        <v>0</v>
      </c>
    </row>
    <row r="23" spans="1:9" x14ac:dyDescent="0.3">
      <c r="A23" s="14" t="s">
        <v>2246</v>
      </c>
      <c r="B23" s="15">
        <f>COUNTIFS(Checklist!$B$2:$B$757,$A23)</f>
        <v>4</v>
      </c>
      <c r="C23" s="15">
        <f>COUNTIFS(Checklist!$B$2:$B$757,$A23,Checklist!$K$2:$K$757,"Not started")</f>
        <v>4</v>
      </c>
      <c r="D23" s="15">
        <f>COUNTIFS(Checklist!$B$2:$B$757,$A23,Checklist!$K$2:$K$757,"In progress")</f>
        <v>0</v>
      </c>
      <c r="E23" s="15">
        <f>COUNTIFS(Checklist!$B$2:$B$757,$A23,Checklist!$K$2:$K$757,"Done")</f>
        <v>0</v>
      </c>
      <c r="F23" s="15">
        <f>COUNTIFS(Checklist!$B$2:$B$757,$A23,Checklist!$K$2:$K$757,"Blocked")</f>
        <v>0</v>
      </c>
      <c r="G23" s="15">
        <f>COUNTIFS(Checklist!$B$2:$B$757,$A23,Checklist!$K$2:$K$757,"Not applicable")</f>
        <v>0</v>
      </c>
      <c r="H23" s="15">
        <f t="shared" si="0"/>
        <v>4</v>
      </c>
      <c r="I23" s="16">
        <f t="shared" si="1"/>
        <v>0</v>
      </c>
    </row>
    <row r="24" spans="1:9" x14ac:dyDescent="0.3">
      <c r="A24" s="14" t="s">
        <v>2270</v>
      </c>
      <c r="B24" s="15">
        <f>COUNTIFS(Checklist!$B$2:$B$757,$A24)</f>
        <v>19</v>
      </c>
      <c r="C24" s="15">
        <f>COUNTIFS(Checklist!$B$2:$B$757,$A24,Checklist!$K$2:$K$757,"Not started")</f>
        <v>19</v>
      </c>
      <c r="D24" s="15">
        <f>COUNTIFS(Checklist!$B$2:$B$757,$A24,Checklist!$K$2:$K$757,"In progress")</f>
        <v>0</v>
      </c>
      <c r="E24" s="15">
        <f>COUNTIFS(Checklist!$B$2:$B$757,$A24,Checklist!$K$2:$K$757,"Done")</f>
        <v>0</v>
      </c>
      <c r="F24" s="15">
        <f>COUNTIFS(Checklist!$B$2:$B$757,$A24,Checklist!$K$2:$K$757,"Blocked")</f>
        <v>0</v>
      </c>
      <c r="G24" s="15">
        <f>COUNTIFS(Checklist!$B$2:$B$757,$A24,Checklist!$K$2:$K$757,"Not applicable")</f>
        <v>0</v>
      </c>
      <c r="H24" s="15">
        <f t="shared" si="0"/>
        <v>19</v>
      </c>
      <c r="I24" s="16">
        <f t="shared" si="1"/>
        <v>0</v>
      </c>
    </row>
    <row r="25" spans="1:9" x14ac:dyDescent="0.3">
      <c r="A25" s="14" t="s">
        <v>2375</v>
      </c>
      <c r="B25" s="15">
        <f>COUNTIFS(Checklist!$B$2:$B$757,$A25)</f>
        <v>33</v>
      </c>
      <c r="C25" s="15">
        <f>COUNTIFS(Checklist!$B$2:$B$757,$A25,Checklist!$K$2:$K$757,"Not started")</f>
        <v>32</v>
      </c>
      <c r="D25" s="15">
        <f>COUNTIFS(Checklist!$B$2:$B$757,$A25,Checklist!$K$2:$K$757,"In progress")</f>
        <v>0</v>
      </c>
      <c r="E25" s="15">
        <f>COUNTIFS(Checklist!$B$2:$B$757,$A25,Checklist!$K$2:$K$757,"Done")</f>
        <v>0</v>
      </c>
      <c r="F25" s="15">
        <f>COUNTIFS(Checklist!$B$2:$B$757,$A25,Checklist!$K$2:$K$757,"Blocked")</f>
        <v>0</v>
      </c>
      <c r="G25" s="15">
        <f>COUNTIFS(Checklist!$B$2:$B$757,$A25,Checklist!$K$2:$K$757,"Not applicable")</f>
        <v>1</v>
      </c>
      <c r="H25" s="15">
        <f t="shared" si="0"/>
        <v>32</v>
      </c>
      <c r="I25" s="16">
        <f t="shared" si="1"/>
        <v>0</v>
      </c>
    </row>
    <row r="26" spans="1:9" x14ac:dyDescent="0.3">
      <c r="A26" s="14" t="s">
        <v>2539</v>
      </c>
      <c r="B26" s="15">
        <f>COUNTIFS(Checklist!$B$2:$B$757,$A26)</f>
        <v>17</v>
      </c>
      <c r="C26" s="15">
        <f>COUNTIFS(Checklist!$B$2:$B$757,$A26,Checklist!$K$2:$K$757,"Not started")</f>
        <v>17</v>
      </c>
      <c r="D26" s="15">
        <f>COUNTIFS(Checklist!$B$2:$B$757,$A26,Checklist!$K$2:$K$757,"In progress")</f>
        <v>0</v>
      </c>
      <c r="E26" s="15">
        <f>COUNTIFS(Checklist!$B$2:$B$757,$A26,Checklist!$K$2:$K$757,"Done")</f>
        <v>0</v>
      </c>
      <c r="F26" s="15">
        <f>COUNTIFS(Checklist!$B$2:$B$757,$A26,Checklist!$K$2:$K$757,"Blocked")</f>
        <v>0</v>
      </c>
      <c r="G26" s="15">
        <f>COUNTIFS(Checklist!$B$2:$B$757,$A26,Checklist!$K$2:$K$757,"Not applicable")</f>
        <v>0</v>
      </c>
      <c r="H26" s="15">
        <f t="shared" si="0"/>
        <v>17</v>
      </c>
      <c r="I26" s="16">
        <f t="shared" si="1"/>
        <v>0</v>
      </c>
    </row>
    <row r="27" spans="1:9" x14ac:dyDescent="0.3">
      <c r="A27" s="14" t="s">
        <v>2634</v>
      </c>
      <c r="B27" s="15">
        <f>COUNTIFS(Checklist!$B$2:$B$757,$A27)</f>
        <v>9</v>
      </c>
      <c r="C27" s="15">
        <f>COUNTIFS(Checklist!$B$2:$B$757,$A27,Checklist!$K$2:$K$757,"Not started")</f>
        <v>9</v>
      </c>
      <c r="D27" s="15">
        <f>COUNTIFS(Checklist!$B$2:$B$757,$A27,Checklist!$K$2:$K$757,"In progress")</f>
        <v>0</v>
      </c>
      <c r="E27" s="15">
        <f>COUNTIFS(Checklist!$B$2:$B$757,$A27,Checklist!$K$2:$K$757,"Done")</f>
        <v>0</v>
      </c>
      <c r="F27" s="15">
        <f>COUNTIFS(Checklist!$B$2:$B$757,$A27,Checklist!$K$2:$K$757,"Blocked")</f>
        <v>0</v>
      </c>
      <c r="G27" s="15">
        <f>COUNTIFS(Checklist!$B$2:$B$757,$A27,Checklist!$K$2:$K$757,"Not applicable")</f>
        <v>0</v>
      </c>
      <c r="H27" s="15">
        <f t="shared" si="0"/>
        <v>9</v>
      </c>
      <c r="I27" s="16">
        <f t="shared" si="1"/>
        <v>0</v>
      </c>
    </row>
    <row r="28" spans="1:9" x14ac:dyDescent="0.3">
      <c r="A28" s="14" t="s">
        <v>2679</v>
      </c>
      <c r="B28" s="15">
        <f>COUNTIFS(Checklist!$B$2:$B$757,$A28)</f>
        <v>8</v>
      </c>
      <c r="C28" s="15">
        <f>COUNTIFS(Checklist!$B$2:$B$757,$A28,Checklist!$K$2:$K$757,"Not started")</f>
        <v>8</v>
      </c>
      <c r="D28" s="15">
        <f>COUNTIFS(Checklist!$B$2:$B$757,$A28,Checklist!$K$2:$K$757,"In progress")</f>
        <v>0</v>
      </c>
      <c r="E28" s="15">
        <f>COUNTIFS(Checklist!$B$2:$B$757,$A28,Checklist!$K$2:$K$757,"Done")</f>
        <v>0</v>
      </c>
      <c r="F28" s="15">
        <f>COUNTIFS(Checklist!$B$2:$B$757,$A28,Checklist!$K$2:$K$757,"Blocked")</f>
        <v>0</v>
      </c>
      <c r="G28" s="15">
        <f>COUNTIFS(Checklist!$B$2:$B$757,$A28,Checklist!$K$2:$K$757,"Not applicable")</f>
        <v>0</v>
      </c>
      <c r="H28" s="15">
        <f t="shared" si="0"/>
        <v>8</v>
      </c>
      <c r="I28" s="16">
        <f t="shared" si="1"/>
        <v>0</v>
      </c>
    </row>
    <row r="29" spans="1:9" x14ac:dyDescent="0.3">
      <c r="A29" s="14" t="s">
        <v>2724</v>
      </c>
      <c r="B29" s="15">
        <f>COUNTIFS(Checklist!$B$2:$B$757,$A29)</f>
        <v>5</v>
      </c>
      <c r="C29" s="15">
        <f>COUNTIFS(Checklist!$B$2:$B$757,$A29,Checklist!$K$2:$K$757,"Not started")</f>
        <v>5</v>
      </c>
      <c r="D29" s="15">
        <f>COUNTIFS(Checklist!$B$2:$B$757,$A29,Checklist!$K$2:$K$757,"In progress")</f>
        <v>0</v>
      </c>
      <c r="E29" s="15">
        <f>COUNTIFS(Checklist!$B$2:$B$757,$A29,Checklist!$K$2:$K$757,"Done")</f>
        <v>0</v>
      </c>
      <c r="F29" s="15">
        <f>COUNTIFS(Checklist!$B$2:$B$757,$A29,Checklist!$K$2:$K$757,"Blocked")</f>
        <v>0</v>
      </c>
      <c r="G29" s="15">
        <f>COUNTIFS(Checklist!$B$2:$B$757,$A29,Checklist!$K$2:$K$757,"Not applicable")</f>
        <v>0</v>
      </c>
      <c r="H29" s="15">
        <f t="shared" si="0"/>
        <v>5</v>
      </c>
      <c r="I29" s="16">
        <f t="shared" si="1"/>
        <v>0</v>
      </c>
    </row>
    <row r="30" spans="1:9" x14ac:dyDescent="0.3">
      <c r="A30" s="14" t="s">
        <v>2751</v>
      </c>
      <c r="B30" s="15">
        <f>COUNTIFS(Checklist!$B$2:$B$757,$A30)</f>
        <v>81</v>
      </c>
      <c r="C30" s="15">
        <f>COUNTIFS(Checklist!$B$2:$B$757,$A30,Checklist!$K$2:$K$757,"Not started")</f>
        <v>81</v>
      </c>
      <c r="D30" s="15">
        <f>COUNTIFS(Checklist!$B$2:$B$757,$A30,Checklist!$K$2:$K$757,"In progress")</f>
        <v>0</v>
      </c>
      <c r="E30" s="15">
        <f>COUNTIFS(Checklist!$B$2:$B$757,$A30,Checklist!$K$2:$K$757,"Done")</f>
        <v>0</v>
      </c>
      <c r="F30" s="15">
        <f>COUNTIFS(Checklist!$B$2:$B$757,$A30,Checklist!$K$2:$K$757,"Blocked")</f>
        <v>0</v>
      </c>
      <c r="G30" s="15">
        <f>COUNTIFS(Checklist!$B$2:$B$757,$A30,Checklist!$K$2:$K$757,"Not applicable")</f>
        <v>0</v>
      </c>
      <c r="H30" s="15">
        <f t="shared" si="0"/>
        <v>81</v>
      </c>
      <c r="I30" s="16">
        <f t="shared" si="1"/>
        <v>0</v>
      </c>
    </row>
    <row r="31" spans="1:9" x14ac:dyDescent="0.3">
      <c r="A31" s="14" t="s">
        <v>3159</v>
      </c>
      <c r="B31" s="15">
        <f>COUNTIFS(Checklist!$B$2:$B$757,$A31)</f>
        <v>17</v>
      </c>
      <c r="C31" s="15">
        <f>COUNTIFS(Checklist!$B$2:$B$757,$A31,Checklist!$K$2:$K$757,"Not started")</f>
        <v>17</v>
      </c>
      <c r="D31" s="15">
        <f>COUNTIFS(Checklist!$B$2:$B$757,$A31,Checklist!$K$2:$K$757,"In progress")</f>
        <v>0</v>
      </c>
      <c r="E31" s="15">
        <f>COUNTIFS(Checklist!$B$2:$B$757,$A31,Checklist!$K$2:$K$757,"Done")</f>
        <v>0</v>
      </c>
      <c r="F31" s="15">
        <f>COUNTIFS(Checklist!$B$2:$B$757,$A31,Checklist!$K$2:$K$757,"Blocked")</f>
        <v>0</v>
      </c>
      <c r="G31" s="15">
        <f>COUNTIFS(Checklist!$B$2:$B$757,$A31,Checklist!$K$2:$K$757,"Not applicable")</f>
        <v>0</v>
      </c>
      <c r="H31" s="15">
        <f t="shared" si="0"/>
        <v>17</v>
      </c>
      <c r="I31" s="16">
        <f t="shared" si="1"/>
        <v>0</v>
      </c>
    </row>
    <row r="32" spans="1:9" x14ac:dyDescent="0.3">
      <c r="A32" s="14" t="s">
        <v>3244</v>
      </c>
      <c r="B32" s="15">
        <f>COUNTIFS(Checklist!$B$2:$B$757,$A32)</f>
        <v>10</v>
      </c>
      <c r="C32" s="15">
        <f>COUNTIFS(Checklist!$B$2:$B$757,$A32,Checklist!$K$2:$K$757,"Not started")</f>
        <v>10</v>
      </c>
      <c r="D32" s="15">
        <f>COUNTIFS(Checklist!$B$2:$B$757,$A32,Checklist!$K$2:$K$757,"In progress")</f>
        <v>0</v>
      </c>
      <c r="E32" s="15">
        <f>COUNTIFS(Checklist!$B$2:$B$757,$A32,Checklist!$K$2:$K$757,"Done")</f>
        <v>0</v>
      </c>
      <c r="F32" s="15">
        <f>COUNTIFS(Checklist!$B$2:$B$757,$A32,Checklist!$K$2:$K$757,"Blocked")</f>
        <v>0</v>
      </c>
      <c r="G32" s="15">
        <f>COUNTIFS(Checklist!$B$2:$B$757,$A32,Checklist!$K$2:$K$757,"Not applicable")</f>
        <v>0</v>
      </c>
      <c r="H32" s="15">
        <f t="shared" si="0"/>
        <v>10</v>
      </c>
      <c r="I32" s="16">
        <f t="shared" si="1"/>
        <v>0</v>
      </c>
    </row>
    <row r="33" spans="1:9" x14ac:dyDescent="0.3">
      <c r="A33" s="14" t="s">
        <v>3287</v>
      </c>
      <c r="B33" s="15">
        <f>COUNTIFS(Checklist!$B$2:$B$757,$A33)</f>
        <v>10</v>
      </c>
      <c r="C33" s="15">
        <f>COUNTIFS(Checklist!$B$2:$B$757,$A33,Checklist!$K$2:$K$757,"Not started")</f>
        <v>10</v>
      </c>
      <c r="D33" s="15">
        <f>COUNTIFS(Checklist!$B$2:$B$757,$A33,Checklist!$K$2:$K$757,"In progress")</f>
        <v>0</v>
      </c>
      <c r="E33" s="15">
        <f>COUNTIFS(Checklist!$B$2:$B$757,$A33,Checklist!$K$2:$K$757,"Done")</f>
        <v>0</v>
      </c>
      <c r="F33" s="15">
        <f>COUNTIFS(Checklist!$B$2:$B$757,$A33,Checklist!$K$2:$K$757,"Blocked")</f>
        <v>0</v>
      </c>
      <c r="G33" s="15">
        <f>COUNTIFS(Checklist!$B$2:$B$757,$A33,Checklist!$K$2:$K$757,"Not applicable")</f>
        <v>0</v>
      </c>
      <c r="H33" s="15">
        <f t="shared" si="0"/>
        <v>10</v>
      </c>
      <c r="I33" s="16">
        <f t="shared" si="1"/>
        <v>0</v>
      </c>
    </row>
    <row r="34" spans="1:9" x14ac:dyDescent="0.3">
      <c r="A34" s="14" t="s">
        <v>277</v>
      </c>
      <c r="B34" s="15">
        <f>COUNTIFS(Checklist!$B$2:$B$757,$A34)</f>
        <v>12</v>
      </c>
      <c r="C34" s="15">
        <f>COUNTIFS(Checklist!$B$2:$B$757,$A34,Checklist!$K$2:$K$757,"Not started")</f>
        <v>12</v>
      </c>
      <c r="D34" s="15">
        <f>COUNTIFS(Checklist!$B$2:$B$757,$A34,Checklist!$K$2:$K$757,"In progress")</f>
        <v>0</v>
      </c>
      <c r="E34" s="15">
        <f>COUNTIFS(Checklist!$B$2:$B$757,$A34,Checklist!$K$2:$K$757,"Done")</f>
        <v>0</v>
      </c>
      <c r="F34" s="15">
        <f>COUNTIFS(Checklist!$B$2:$B$757,$A34,Checklist!$K$2:$K$757,"Blocked")</f>
        <v>0</v>
      </c>
      <c r="G34" s="15">
        <f>COUNTIFS(Checklist!$B$2:$B$757,$A34,Checklist!$K$2:$K$757,"Not applicable")</f>
        <v>0</v>
      </c>
      <c r="H34" s="15">
        <f t="shared" si="0"/>
        <v>12</v>
      </c>
      <c r="I34" s="16">
        <f t="shared" si="1"/>
        <v>0</v>
      </c>
    </row>
    <row r="35" spans="1:9" x14ac:dyDescent="0.3">
      <c r="A35" s="14" t="s">
        <v>3392</v>
      </c>
      <c r="B35" s="15">
        <f>COUNTIFS(Checklist!$B$2:$B$757,$A35)</f>
        <v>3</v>
      </c>
      <c r="C35" s="15">
        <f>COUNTIFS(Checklist!$B$2:$B$757,$A35,Checklist!$K$2:$K$757,"Not started")</f>
        <v>3</v>
      </c>
      <c r="D35" s="15">
        <f>COUNTIFS(Checklist!$B$2:$B$757,$A35,Checklist!$K$2:$K$757,"In progress")</f>
        <v>0</v>
      </c>
      <c r="E35" s="15">
        <f>COUNTIFS(Checklist!$B$2:$B$757,$A35,Checklist!$K$2:$K$757,"Done")</f>
        <v>0</v>
      </c>
      <c r="F35" s="15">
        <f>COUNTIFS(Checklist!$B$2:$B$757,$A35,Checklist!$K$2:$K$757,"Blocked")</f>
        <v>0</v>
      </c>
      <c r="G35" s="15">
        <f>COUNTIFS(Checklist!$B$2:$B$757,$A35,Checklist!$K$2:$K$757,"Not applicable")</f>
        <v>0</v>
      </c>
      <c r="H35" s="15">
        <f t="shared" si="0"/>
        <v>3</v>
      </c>
      <c r="I35" s="16">
        <f t="shared" si="1"/>
        <v>0</v>
      </c>
    </row>
    <row r="36" spans="1:9" x14ac:dyDescent="0.3">
      <c r="A36" s="14" t="s">
        <v>3281</v>
      </c>
      <c r="B36" s="15">
        <f>COUNTIFS(Checklist!$B$2:$B$757,$A36)</f>
        <v>18</v>
      </c>
      <c r="C36" s="15">
        <f>COUNTIFS(Checklist!$B$2:$B$757,$A36,Checklist!$K$2:$K$757,"Not started")</f>
        <v>17</v>
      </c>
      <c r="D36" s="15">
        <f>COUNTIFS(Checklist!$B$2:$B$757,$A36,Checklist!$K$2:$K$757,"In progress")</f>
        <v>0</v>
      </c>
      <c r="E36" s="15">
        <f>COUNTIFS(Checklist!$B$2:$B$757,$A36,Checklist!$K$2:$K$757,"Done")</f>
        <v>0</v>
      </c>
      <c r="F36" s="15">
        <f>COUNTIFS(Checklist!$B$2:$B$757,$A36,Checklist!$K$2:$K$757,"Blocked")</f>
        <v>0</v>
      </c>
      <c r="G36" s="15">
        <f>COUNTIFS(Checklist!$B$2:$B$757,$A36,Checklist!$K$2:$K$757,"Not applicable")</f>
        <v>1</v>
      </c>
      <c r="H36" s="15">
        <f t="shared" si="0"/>
        <v>17</v>
      </c>
      <c r="I36" s="16">
        <f t="shared" si="1"/>
        <v>0</v>
      </c>
    </row>
    <row r="37" spans="1:9" x14ac:dyDescent="0.3">
      <c r="A37" s="14" t="s">
        <v>3504</v>
      </c>
      <c r="B37" s="15">
        <f>COUNTIFS(Checklist!$B$2:$B$757,$A37)</f>
        <v>11</v>
      </c>
      <c r="C37" s="15">
        <f>COUNTIFS(Checklist!$B$2:$B$757,$A37,Checklist!$K$2:$K$757,"Not started")</f>
        <v>10</v>
      </c>
      <c r="D37" s="15">
        <f>COUNTIFS(Checklist!$B$2:$B$757,$A37,Checklist!$K$2:$K$757,"In progress")</f>
        <v>0</v>
      </c>
      <c r="E37" s="15">
        <f>COUNTIFS(Checklist!$B$2:$B$757,$A37,Checklist!$K$2:$K$757,"Done")</f>
        <v>0</v>
      </c>
      <c r="F37" s="15">
        <f>COUNTIFS(Checklist!$B$2:$B$757,$A37,Checklist!$K$2:$K$757,"Blocked")</f>
        <v>0</v>
      </c>
      <c r="G37" s="15">
        <f>COUNTIFS(Checklist!$B$2:$B$757,$A37,Checklist!$K$2:$K$757,"Not applicable")</f>
        <v>1</v>
      </c>
      <c r="H37" s="15">
        <f t="shared" si="0"/>
        <v>10</v>
      </c>
      <c r="I37" s="16">
        <f t="shared" si="1"/>
        <v>0</v>
      </c>
    </row>
    <row r="38" spans="1:9" x14ac:dyDescent="0.3">
      <c r="A38" s="14" t="s">
        <v>3560</v>
      </c>
      <c r="B38" s="15">
        <f>COUNTIFS(Checklist!$B$2:$B$757,$A38)</f>
        <v>11</v>
      </c>
      <c r="C38" s="15">
        <f>COUNTIFS(Checklist!$B$2:$B$757,$A38,Checklist!$K$2:$K$757,"Not started")</f>
        <v>11</v>
      </c>
      <c r="D38" s="15">
        <f>COUNTIFS(Checklist!$B$2:$B$757,$A38,Checklist!$K$2:$K$757,"In progress")</f>
        <v>0</v>
      </c>
      <c r="E38" s="15">
        <f>COUNTIFS(Checklist!$B$2:$B$757,$A38,Checklist!$K$2:$K$757,"Done")</f>
        <v>0</v>
      </c>
      <c r="F38" s="15">
        <f>COUNTIFS(Checklist!$B$2:$B$757,$A38,Checklist!$K$2:$K$757,"Blocked")</f>
        <v>0</v>
      </c>
      <c r="G38" s="15">
        <f>COUNTIFS(Checklist!$B$2:$B$757,$A38,Checklist!$K$2:$K$757,"Not applicable")</f>
        <v>0</v>
      </c>
      <c r="H38" s="15">
        <f t="shared" si="0"/>
        <v>11</v>
      </c>
      <c r="I38" s="16">
        <f t="shared" si="1"/>
        <v>0</v>
      </c>
    </row>
    <row r="39" spans="1:9" x14ac:dyDescent="0.3">
      <c r="A39" s="14" t="s">
        <v>3619</v>
      </c>
      <c r="B39" s="15">
        <f>COUNTIFS(Checklist!$B$2:$B$757,$A39)</f>
        <v>6</v>
      </c>
      <c r="C39" s="15">
        <f>COUNTIFS(Checklist!$B$2:$B$757,$A39,Checklist!$K$2:$K$757,"Not started")</f>
        <v>6</v>
      </c>
      <c r="D39" s="15">
        <f>COUNTIFS(Checklist!$B$2:$B$757,$A39,Checklist!$K$2:$K$757,"In progress")</f>
        <v>0</v>
      </c>
      <c r="E39" s="15">
        <f>COUNTIFS(Checklist!$B$2:$B$757,$A39,Checklist!$K$2:$K$757,"Done")</f>
        <v>0</v>
      </c>
      <c r="F39" s="15">
        <f>COUNTIFS(Checklist!$B$2:$B$757,$A39,Checklist!$K$2:$K$757,"Blocked")</f>
        <v>0</v>
      </c>
      <c r="G39" s="15">
        <f>COUNTIFS(Checklist!$B$2:$B$757,$A39,Checklist!$K$2:$K$757,"Not applicable")</f>
        <v>0</v>
      </c>
      <c r="H39" s="15">
        <f t="shared" si="0"/>
        <v>6</v>
      </c>
      <c r="I39" s="16">
        <f t="shared" si="1"/>
        <v>0</v>
      </c>
    </row>
    <row r="40" spans="1:9" x14ac:dyDescent="0.3">
      <c r="A40" s="14" t="s">
        <v>3645</v>
      </c>
      <c r="B40" s="15">
        <f>COUNTIFS(Checklist!$B$2:$B$757,$A40)</f>
        <v>2</v>
      </c>
      <c r="C40" s="15">
        <f>COUNTIFS(Checklist!$B$2:$B$757,$A40,Checklist!$K$2:$K$757,"Not started")</f>
        <v>2</v>
      </c>
      <c r="D40" s="15">
        <f>COUNTIFS(Checklist!$B$2:$B$757,$A40,Checklist!$K$2:$K$757,"In progress")</f>
        <v>0</v>
      </c>
      <c r="E40" s="15">
        <f>COUNTIFS(Checklist!$B$2:$B$757,$A40,Checklist!$K$2:$K$757,"Done")</f>
        <v>0</v>
      </c>
      <c r="F40" s="15">
        <f>COUNTIFS(Checklist!$B$2:$B$757,$A40,Checklist!$K$2:$K$757,"Blocked")</f>
        <v>0</v>
      </c>
      <c r="G40" s="15">
        <f>COUNTIFS(Checklist!$B$2:$B$757,$A40,Checklist!$K$2:$K$757,"Not applicable")</f>
        <v>0</v>
      </c>
      <c r="H40" s="15">
        <f t="shared" si="0"/>
        <v>2</v>
      </c>
      <c r="I40" s="16">
        <f t="shared" si="1"/>
        <v>0</v>
      </c>
    </row>
    <row r="41" spans="1:9" x14ac:dyDescent="0.3">
      <c r="A41" s="14" t="s">
        <v>3657</v>
      </c>
      <c r="B41" s="15">
        <f>COUNTIFS(Checklist!$B$2:$B$757,$A41)</f>
        <v>16</v>
      </c>
      <c r="C41" s="15">
        <f>COUNTIFS(Checklist!$B$2:$B$757,$A41,Checklist!$K$2:$K$757,"Not started")</f>
        <v>0</v>
      </c>
      <c r="D41" s="15">
        <f>COUNTIFS(Checklist!$B$2:$B$757,$A41,Checklist!$K$2:$K$757,"In progress")</f>
        <v>0</v>
      </c>
      <c r="E41" s="15">
        <f>COUNTIFS(Checklist!$B$2:$B$757,$A41,Checklist!$K$2:$K$757,"Done")</f>
        <v>0</v>
      </c>
      <c r="F41" s="15">
        <f>COUNTIFS(Checklist!$B$2:$B$757,$A41,Checklist!$K$2:$K$757,"Blocked")</f>
        <v>0</v>
      </c>
      <c r="G41" s="15">
        <f>COUNTIFS(Checklist!$B$2:$B$757,$A41,Checklist!$K$2:$K$757,"Not applicable")</f>
        <v>16</v>
      </c>
      <c r="H41" s="15">
        <f t="shared" si="0"/>
        <v>0</v>
      </c>
      <c r="I41" s="16" t="str">
        <f t="shared" si="1"/>
        <v>-</v>
      </c>
    </row>
    <row r="42" spans="1:9" x14ac:dyDescent="0.3">
      <c r="A42" s="14" t="s">
        <v>3729</v>
      </c>
      <c r="B42" s="15">
        <f>COUNTIFS(Checklist!$B$2:$B$757,$A42)</f>
        <v>49</v>
      </c>
      <c r="C42" s="15">
        <f>COUNTIFS(Checklist!$B$2:$B$757,$A42,Checklist!$K$2:$K$757,"Not started")</f>
        <v>0</v>
      </c>
      <c r="D42" s="15">
        <f>COUNTIFS(Checklist!$B$2:$B$757,$A42,Checklist!$K$2:$K$757,"In progress")</f>
        <v>0</v>
      </c>
      <c r="E42" s="15">
        <f>COUNTIFS(Checklist!$B$2:$B$757,$A42,Checklist!$K$2:$K$757,"Done")</f>
        <v>0</v>
      </c>
      <c r="F42" s="15">
        <f>COUNTIFS(Checklist!$B$2:$B$757,$A42,Checklist!$K$2:$K$757,"Blocked")</f>
        <v>0</v>
      </c>
      <c r="G42" s="15">
        <f>COUNTIFS(Checklist!$B$2:$B$757,$A42,Checklist!$K$2:$K$757,"Not applicable")</f>
        <v>49</v>
      </c>
      <c r="H42" s="15">
        <f t="shared" si="0"/>
        <v>0</v>
      </c>
      <c r="I42" s="16" t="str">
        <f t="shared" si="1"/>
        <v>-</v>
      </c>
    </row>
    <row r="43" spans="1:9" x14ac:dyDescent="0.3">
      <c r="A43" s="17" t="s">
        <v>3998</v>
      </c>
      <c r="B43" s="18">
        <f t="shared" ref="B43:H43" si="2">SUM(B5:B42)</f>
        <v>756</v>
      </c>
      <c r="C43" s="18">
        <f t="shared" si="2"/>
        <v>682</v>
      </c>
      <c r="D43" s="18">
        <f t="shared" si="2"/>
        <v>0</v>
      </c>
      <c r="E43" s="18">
        <f t="shared" si="2"/>
        <v>0</v>
      </c>
      <c r="F43" s="18">
        <f t="shared" si="2"/>
        <v>0</v>
      </c>
      <c r="G43" s="18">
        <f t="shared" si="2"/>
        <v>74</v>
      </c>
      <c r="H43" s="18">
        <f t="shared" si="2"/>
        <v>682</v>
      </c>
      <c r="I43" s="19">
        <f t="shared" si="1"/>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38"/>
  <sheetViews>
    <sheetView workbookViewId="0">
      <pane ySplit="4" topLeftCell="A5" activePane="bottomLeft" state="frozen"/>
      <selection pane="bottomLeft"/>
    </sheetView>
  </sheetViews>
  <sheetFormatPr defaultRowHeight="14.4" x14ac:dyDescent="0.3"/>
  <cols>
    <col min="1" max="1" width="46" customWidth="1"/>
    <col min="2" max="2" width="30" customWidth="1"/>
    <col min="3" max="3" width="40" customWidth="1"/>
    <col min="4" max="4" width="14" customWidth="1"/>
    <col min="5" max="5" width="40" customWidth="1"/>
    <col min="6" max="6" width="60" customWidth="1"/>
  </cols>
  <sheetData>
    <row r="1" spans="1:6" ht="21" x14ac:dyDescent="0.4">
      <c r="A1" s="1" t="s">
        <v>3999</v>
      </c>
    </row>
    <row r="2" spans="1:6" x14ac:dyDescent="0.3">
      <c r="A2" s="13" t="s">
        <v>4000</v>
      </c>
    </row>
    <row r="4" spans="1:6" ht="26.4" x14ac:dyDescent="0.3">
      <c r="A4" s="5" t="s">
        <v>4001</v>
      </c>
      <c r="B4" s="5" t="s">
        <v>4002</v>
      </c>
      <c r="C4" s="5" t="s">
        <v>4003</v>
      </c>
      <c r="D4" s="5" t="s">
        <v>4004</v>
      </c>
      <c r="E4" s="5" t="s">
        <v>4005</v>
      </c>
      <c r="F4" s="5" t="s">
        <v>4006</v>
      </c>
    </row>
    <row r="5" spans="1:6" x14ac:dyDescent="0.3">
      <c r="A5" s="12" t="s">
        <v>4007</v>
      </c>
      <c r="B5" s="12" t="s">
        <v>4008</v>
      </c>
      <c r="C5" s="12" t="s">
        <v>4009</v>
      </c>
      <c r="D5" s="11" t="s">
        <v>4010</v>
      </c>
      <c r="E5" s="12"/>
      <c r="F5" s="12" t="s">
        <v>4011</v>
      </c>
    </row>
    <row r="6" spans="1:6" x14ac:dyDescent="0.3">
      <c r="A6" s="12" t="s">
        <v>4012</v>
      </c>
      <c r="B6" s="12" t="s">
        <v>4013</v>
      </c>
      <c r="C6" s="12" t="s">
        <v>4009</v>
      </c>
      <c r="D6" s="11" t="s">
        <v>37</v>
      </c>
      <c r="E6" s="12" t="s">
        <v>178</v>
      </c>
      <c r="F6" s="12"/>
    </row>
    <row r="7" spans="1:6" x14ac:dyDescent="0.3">
      <c r="A7" s="12" t="s">
        <v>4014</v>
      </c>
      <c r="B7" s="12" t="s">
        <v>4015</v>
      </c>
      <c r="C7" s="12" t="s">
        <v>4016</v>
      </c>
      <c r="D7" s="11" t="s">
        <v>37</v>
      </c>
      <c r="E7" s="12" t="s">
        <v>4017</v>
      </c>
      <c r="F7" s="12"/>
    </row>
    <row r="8" spans="1:6" ht="26.4" x14ac:dyDescent="0.3">
      <c r="A8" s="12" t="s">
        <v>4018</v>
      </c>
      <c r="B8" s="12" t="s">
        <v>4015</v>
      </c>
      <c r="C8" s="12" t="s">
        <v>4019</v>
      </c>
      <c r="D8" s="11" t="s">
        <v>37</v>
      </c>
      <c r="E8" s="12" t="s">
        <v>4017</v>
      </c>
      <c r="F8" s="12"/>
    </row>
    <row r="9" spans="1:6" x14ac:dyDescent="0.3">
      <c r="A9" s="12" t="s">
        <v>4020</v>
      </c>
      <c r="B9" s="12" t="s">
        <v>4015</v>
      </c>
      <c r="C9" s="12" t="s">
        <v>4021</v>
      </c>
      <c r="D9" s="11" t="s">
        <v>37</v>
      </c>
      <c r="E9" s="12" t="s">
        <v>4022</v>
      </c>
      <c r="F9" s="12"/>
    </row>
    <row r="10" spans="1:6" ht="39.6" x14ac:dyDescent="0.3">
      <c r="A10" s="12" t="s">
        <v>4023</v>
      </c>
      <c r="B10" s="12" t="s">
        <v>4024</v>
      </c>
      <c r="C10" s="12" t="s">
        <v>4016</v>
      </c>
      <c r="D10" s="11" t="s">
        <v>37</v>
      </c>
      <c r="E10" s="12" t="s">
        <v>4025</v>
      </c>
      <c r="F10" s="12"/>
    </row>
    <row r="11" spans="1:6" x14ac:dyDescent="0.3">
      <c r="A11" s="12" t="s">
        <v>4026</v>
      </c>
      <c r="B11" s="12" t="s">
        <v>4024</v>
      </c>
      <c r="C11" s="12" t="s">
        <v>4027</v>
      </c>
      <c r="D11" s="11" t="s">
        <v>37</v>
      </c>
      <c r="E11" s="12" t="s">
        <v>4028</v>
      </c>
      <c r="F11" s="12"/>
    </row>
    <row r="12" spans="1:6" x14ac:dyDescent="0.3">
      <c r="A12" s="12" t="s">
        <v>4029</v>
      </c>
      <c r="B12" s="12" t="s">
        <v>4024</v>
      </c>
      <c r="C12" s="12" t="s">
        <v>4030</v>
      </c>
      <c r="D12" s="11" t="s">
        <v>37</v>
      </c>
      <c r="E12" s="12" t="s">
        <v>4031</v>
      </c>
      <c r="F12" s="12"/>
    </row>
    <row r="13" spans="1:6" ht="39.6" x14ac:dyDescent="0.3">
      <c r="A13" s="12" t="s">
        <v>4032</v>
      </c>
      <c r="B13" s="12" t="s">
        <v>4033</v>
      </c>
      <c r="C13" s="12" t="s">
        <v>4016</v>
      </c>
      <c r="D13" s="11" t="s">
        <v>37</v>
      </c>
      <c r="E13" s="12" t="s">
        <v>4034</v>
      </c>
      <c r="F13" s="12"/>
    </row>
    <row r="14" spans="1:6" ht="39.6" x14ac:dyDescent="0.3">
      <c r="A14" s="12" t="s">
        <v>4035</v>
      </c>
      <c r="B14" s="12" t="s">
        <v>4033</v>
      </c>
      <c r="C14" s="12" t="s">
        <v>4019</v>
      </c>
      <c r="D14" s="11" t="s">
        <v>37</v>
      </c>
      <c r="E14" s="12" t="s">
        <v>4034</v>
      </c>
      <c r="F14" s="12"/>
    </row>
    <row r="15" spans="1:6" x14ac:dyDescent="0.3">
      <c r="A15" s="12" t="s">
        <v>4036</v>
      </c>
      <c r="B15" s="12" t="s">
        <v>4033</v>
      </c>
      <c r="C15" s="12" t="s">
        <v>4037</v>
      </c>
      <c r="D15" s="11" t="s">
        <v>37</v>
      </c>
      <c r="E15" s="12" t="s">
        <v>1647</v>
      </c>
      <c r="F15" s="12"/>
    </row>
    <row r="16" spans="1:6" x14ac:dyDescent="0.3">
      <c r="A16" s="12" t="s">
        <v>4038</v>
      </c>
      <c r="B16" s="12" t="s">
        <v>4033</v>
      </c>
      <c r="C16" s="12" t="s">
        <v>4039</v>
      </c>
      <c r="D16" s="11" t="s">
        <v>37</v>
      </c>
      <c r="E16" s="12" t="s">
        <v>1647</v>
      </c>
      <c r="F16" s="12"/>
    </row>
    <row r="17" spans="1:6" x14ac:dyDescent="0.3">
      <c r="A17" s="12" t="s">
        <v>4040</v>
      </c>
      <c r="B17" s="12" t="s">
        <v>4033</v>
      </c>
      <c r="C17" s="12" t="s">
        <v>4041</v>
      </c>
      <c r="D17" s="11" t="s">
        <v>37</v>
      </c>
      <c r="E17" s="12" t="s">
        <v>1647</v>
      </c>
      <c r="F17" s="12"/>
    </row>
    <row r="18" spans="1:6" x14ac:dyDescent="0.3">
      <c r="A18" s="12" t="s">
        <v>4042</v>
      </c>
      <c r="B18" s="12" t="s">
        <v>4033</v>
      </c>
      <c r="C18" s="12" t="s">
        <v>4043</v>
      </c>
      <c r="D18" s="11" t="s">
        <v>37</v>
      </c>
      <c r="E18" s="12" t="s">
        <v>1647</v>
      </c>
      <c r="F18" s="12"/>
    </row>
    <row r="19" spans="1:6" ht="26.4" x14ac:dyDescent="0.3">
      <c r="A19" s="12" t="s">
        <v>4044</v>
      </c>
      <c r="B19" s="12" t="s">
        <v>4033</v>
      </c>
      <c r="C19" s="12" t="s">
        <v>4045</v>
      </c>
      <c r="D19" s="11" t="s">
        <v>37</v>
      </c>
      <c r="E19" s="12" t="s">
        <v>1546</v>
      </c>
      <c r="F19" s="12"/>
    </row>
    <row r="20" spans="1:6" x14ac:dyDescent="0.3">
      <c r="A20" s="12" t="s">
        <v>4046</v>
      </c>
      <c r="B20" s="12" t="s">
        <v>4033</v>
      </c>
      <c r="C20" s="12" t="s">
        <v>4047</v>
      </c>
      <c r="D20" s="11" t="s">
        <v>37</v>
      </c>
      <c r="E20" s="12" t="s">
        <v>1647</v>
      </c>
      <c r="F20" s="12"/>
    </row>
    <row r="21" spans="1:6" x14ac:dyDescent="0.3">
      <c r="A21" s="12" t="s">
        <v>4048</v>
      </c>
      <c r="B21" s="12" t="s">
        <v>4033</v>
      </c>
      <c r="C21" s="12" t="s">
        <v>4049</v>
      </c>
      <c r="D21" s="11" t="s">
        <v>37</v>
      </c>
      <c r="E21" s="12" t="s">
        <v>1503</v>
      </c>
      <c r="F21" s="12"/>
    </row>
    <row r="22" spans="1:6" x14ac:dyDescent="0.3">
      <c r="A22" s="12" t="s">
        <v>4050</v>
      </c>
      <c r="B22" s="12" t="s">
        <v>4033</v>
      </c>
      <c r="C22" s="12" t="s">
        <v>4051</v>
      </c>
      <c r="D22" s="11" t="s">
        <v>37</v>
      </c>
      <c r="E22" s="12" t="s">
        <v>4052</v>
      </c>
      <c r="F22" s="12"/>
    </row>
    <row r="23" spans="1:6" x14ac:dyDescent="0.3">
      <c r="A23" s="12" t="s">
        <v>4053</v>
      </c>
      <c r="B23" s="12" t="s">
        <v>4033</v>
      </c>
      <c r="C23" s="12" t="s">
        <v>4054</v>
      </c>
      <c r="D23" s="11" t="s">
        <v>37</v>
      </c>
      <c r="E23" s="12" t="s">
        <v>1635</v>
      </c>
      <c r="F23" s="12"/>
    </row>
    <row r="24" spans="1:6" x14ac:dyDescent="0.3">
      <c r="A24" s="12" t="s">
        <v>4055</v>
      </c>
      <c r="B24" s="12" t="s">
        <v>4033</v>
      </c>
      <c r="C24" s="12" t="s">
        <v>4056</v>
      </c>
      <c r="D24" s="11" t="s">
        <v>37</v>
      </c>
      <c r="E24" s="12" t="s">
        <v>4057</v>
      </c>
      <c r="F24" s="12"/>
    </row>
    <row r="25" spans="1:6" ht="26.4" x14ac:dyDescent="0.3">
      <c r="A25" s="12" t="s">
        <v>4058</v>
      </c>
      <c r="B25" s="12" t="s">
        <v>4059</v>
      </c>
      <c r="C25" s="12" t="s">
        <v>4016</v>
      </c>
      <c r="D25" s="11" t="s">
        <v>37</v>
      </c>
      <c r="E25" s="12" t="s">
        <v>4060</v>
      </c>
      <c r="F25" s="12"/>
    </row>
    <row r="26" spans="1:6" ht="26.4" x14ac:dyDescent="0.3">
      <c r="A26" s="12" t="s">
        <v>4061</v>
      </c>
      <c r="B26" s="12" t="s">
        <v>4059</v>
      </c>
      <c r="C26" s="12" t="s">
        <v>4019</v>
      </c>
      <c r="D26" s="11" t="s">
        <v>37</v>
      </c>
      <c r="E26" s="12" t="s">
        <v>4060</v>
      </c>
      <c r="F26" s="12"/>
    </row>
    <row r="27" spans="1:6" x14ac:dyDescent="0.3">
      <c r="A27" s="12" t="s">
        <v>4062</v>
      </c>
      <c r="B27" s="12" t="s">
        <v>4059</v>
      </c>
      <c r="C27" s="12" t="s">
        <v>4063</v>
      </c>
      <c r="D27" s="11" t="s">
        <v>37</v>
      </c>
      <c r="E27" s="12" t="s">
        <v>4064</v>
      </c>
      <c r="F27" s="12"/>
    </row>
    <row r="28" spans="1:6" ht="26.4" x14ac:dyDescent="0.3">
      <c r="A28" s="12" t="s">
        <v>4065</v>
      </c>
      <c r="B28" s="12" t="s">
        <v>4066</v>
      </c>
      <c r="C28" s="12" t="s">
        <v>4016</v>
      </c>
      <c r="D28" s="11" t="s">
        <v>37</v>
      </c>
      <c r="E28" s="12" t="s">
        <v>4067</v>
      </c>
      <c r="F28" s="12"/>
    </row>
    <row r="29" spans="1:6" ht="26.4" x14ac:dyDescent="0.3">
      <c r="A29" s="12" t="s">
        <v>4068</v>
      </c>
      <c r="B29" s="12" t="s">
        <v>4066</v>
      </c>
      <c r="C29" s="12" t="s">
        <v>4069</v>
      </c>
      <c r="D29" s="11" t="s">
        <v>37</v>
      </c>
      <c r="E29" s="12" t="s">
        <v>4067</v>
      </c>
      <c r="F29" s="12"/>
    </row>
    <row r="30" spans="1:6" x14ac:dyDescent="0.3">
      <c r="A30" s="12" t="s">
        <v>4070</v>
      </c>
      <c r="B30" s="12" t="s">
        <v>4066</v>
      </c>
      <c r="C30" s="12" t="s">
        <v>4071</v>
      </c>
      <c r="D30" s="11" t="s">
        <v>37</v>
      </c>
      <c r="E30" s="12" t="s">
        <v>1340</v>
      </c>
      <c r="F30" s="12"/>
    </row>
    <row r="31" spans="1:6" ht="39.6" x14ac:dyDescent="0.3">
      <c r="A31" s="12" t="s">
        <v>4072</v>
      </c>
      <c r="B31" s="12" t="s">
        <v>4073</v>
      </c>
      <c r="C31" s="12" t="s">
        <v>4016</v>
      </c>
      <c r="D31" s="11" t="s">
        <v>37</v>
      </c>
      <c r="E31" s="12" t="s">
        <v>4074</v>
      </c>
      <c r="F31" s="12"/>
    </row>
    <row r="32" spans="1:6" ht="39.6" x14ac:dyDescent="0.3">
      <c r="A32" s="12" t="s">
        <v>4075</v>
      </c>
      <c r="B32" s="12" t="s">
        <v>4073</v>
      </c>
      <c r="C32" s="12" t="s">
        <v>4019</v>
      </c>
      <c r="D32" s="11" t="s">
        <v>37</v>
      </c>
      <c r="E32" s="12" t="s">
        <v>4074</v>
      </c>
      <c r="F32" s="12"/>
    </row>
    <row r="33" spans="1:6" x14ac:dyDescent="0.3">
      <c r="A33" s="12" t="s">
        <v>4076</v>
      </c>
      <c r="B33" s="12" t="s">
        <v>4073</v>
      </c>
      <c r="C33" s="12" t="s">
        <v>4077</v>
      </c>
      <c r="D33" s="11" t="s">
        <v>37</v>
      </c>
      <c r="E33" s="12" t="s">
        <v>4078</v>
      </c>
      <c r="F33" s="12"/>
    </row>
    <row r="34" spans="1:6" ht="26.4" x14ac:dyDescent="0.3">
      <c r="A34" s="12" t="s">
        <v>4079</v>
      </c>
      <c r="B34" s="12" t="s">
        <v>4073</v>
      </c>
      <c r="C34" s="12" t="s">
        <v>4080</v>
      </c>
      <c r="D34" s="11" t="s">
        <v>37</v>
      </c>
      <c r="E34" s="12" t="s">
        <v>4081</v>
      </c>
      <c r="F34" s="12"/>
    </row>
    <row r="35" spans="1:6" x14ac:dyDescent="0.3">
      <c r="A35" s="12" t="s">
        <v>4082</v>
      </c>
      <c r="B35" s="12" t="s">
        <v>4073</v>
      </c>
      <c r="C35" s="12" t="s">
        <v>4083</v>
      </c>
      <c r="D35" s="11" t="s">
        <v>37</v>
      </c>
      <c r="E35" s="12" t="s">
        <v>4084</v>
      </c>
      <c r="F35" s="12"/>
    </row>
    <row r="36" spans="1:6" x14ac:dyDescent="0.3">
      <c r="A36" s="12" t="s">
        <v>4085</v>
      </c>
      <c r="B36" s="12" t="s">
        <v>4073</v>
      </c>
      <c r="C36" s="12" t="s">
        <v>4086</v>
      </c>
      <c r="D36" s="11" t="s">
        <v>37</v>
      </c>
      <c r="E36" s="12" t="s">
        <v>4087</v>
      </c>
      <c r="F36" s="12"/>
    </row>
    <row r="37" spans="1:6" x14ac:dyDescent="0.3">
      <c r="A37" s="12" t="s">
        <v>4088</v>
      </c>
      <c r="B37" s="12" t="s">
        <v>4073</v>
      </c>
      <c r="C37" s="12" t="s">
        <v>4089</v>
      </c>
      <c r="D37" s="11" t="s">
        <v>37</v>
      </c>
      <c r="E37" s="12" t="s">
        <v>4090</v>
      </c>
      <c r="F37" s="12"/>
    </row>
    <row r="38" spans="1:6" ht="26.4" x14ac:dyDescent="0.3">
      <c r="A38" s="12" t="s">
        <v>4091</v>
      </c>
      <c r="B38" s="12" t="s">
        <v>4073</v>
      </c>
      <c r="C38" s="12" t="s">
        <v>4092</v>
      </c>
      <c r="D38" s="11" t="s">
        <v>37</v>
      </c>
      <c r="E38" s="12" t="s">
        <v>4090</v>
      </c>
      <c r="F38" s="12"/>
    </row>
    <row r="39" spans="1:6" x14ac:dyDescent="0.3">
      <c r="A39" s="12" t="s">
        <v>4093</v>
      </c>
      <c r="B39" s="12" t="s">
        <v>4073</v>
      </c>
      <c r="C39" s="12" t="s">
        <v>4094</v>
      </c>
      <c r="D39" s="11" t="s">
        <v>37</v>
      </c>
      <c r="E39" s="12" t="s">
        <v>4095</v>
      </c>
      <c r="F39" s="12"/>
    </row>
    <row r="40" spans="1:6" x14ac:dyDescent="0.3">
      <c r="A40" s="12" t="s">
        <v>4096</v>
      </c>
      <c r="B40" s="12" t="s">
        <v>4073</v>
      </c>
      <c r="C40" s="12" t="s">
        <v>4097</v>
      </c>
      <c r="D40" s="11" t="s">
        <v>37</v>
      </c>
      <c r="E40" s="12" t="s">
        <v>4098</v>
      </c>
      <c r="F40" s="12"/>
    </row>
    <row r="41" spans="1:6" x14ac:dyDescent="0.3">
      <c r="A41" s="12" t="s">
        <v>4099</v>
      </c>
      <c r="B41" s="12" t="s">
        <v>4073</v>
      </c>
      <c r="C41" s="12" t="s">
        <v>4100</v>
      </c>
      <c r="D41" s="11" t="s">
        <v>37</v>
      </c>
      <c r="E41" s="12" t="s">
        <v>4101</v>
      </c>
      <c r="F41" s="12"/>
    </row>
    <row r="42" spans="1:6" x14ac:dyDescent="0.3">
      <c r="A42" s="12" t="s">
        <v>4102</v>
      </c>
      <c r="B42" s="12" t="s">
        <v>4073</v>
      </c>
      <c r="C42" s="12" t="s">
        <v>4103</v>
      </c>
      <c r="D42" s="11" t="s">
        <v>37</v>
      </c>
      <c r="E42" s="12" t="s">
        <v>4104</v>
      </c>
      <c r="F42" s="12"/>
    </row>
    <row r="43" spans="1:6" x14ac:dyDescent="0.3">
      <c r="A43" s="12" t="s">
        <v>4105</v>
      </c>
      <c r="B43" s="12" t="s">
        <v>4073</v>
      </c>
      <c r="C43" s="12" t="s">
        <v>4106</v>
      </c>
      <c r="D43" s="11" t="s">
        <v>37</v>
      </c>
      <c r="E43" s="12" t="s">
        <v>4107</v>
      </c>
      <c r="F43" s="12"/>
    </row>
    <row r="44" spans="1:6" ht="26.4" x14ac:dyDescent="0.3">
      <c r="A44" s="12" t="s">
        <v>4108</v>
      </c>
      <c r="B44" s="12" t="s">
        <v>4073</v>
      </c>
      <c r="C44" s="12" t="s">
        <v>4109</v>
      </c>
      <c r="D44" s="11" t="s">
        <v>37</v>
      </c>
      <c r="E44" s="12" t="s">
        <v>4110</v>
      </c>
      <c r="F44" s="12"/>
    </row>
    <row r="45" spans="1:6" x14ac:dyDescent="0.3">
      <c r="A45" s="12" t="s">
        <v>4111</v>
      </c>
      <c r="B45" s="12" t="s">
        <v>4073</v>
      </c>
      <c r="C45" s="12" t="s">
        <v>4112</v>
      </c>
      <c r="D45" s="11" t="s">
        <v>37</v>
      </c>
      <c r="E45" s="12" t="s">
        <v>4113</v>
      </c>
      <c r="F45" s="12"/>
    </row>
    <row r="46" spans="1:6" ht="26.4" x14ac:dyDescent="0.3">
      <c r="A46" s="12" t="s">
        <v>4114</v>
      </c>
      <c r="B46" s="12" t="s">
        <v>4073</v>
      </c>
      <c r="C46" s="12" t="s">
        <v>4115</v>
      </c>
      <c r="D46" s="11" t="s">
        <v>37</v>
      </c>
      <c r="E46" s="12" t="s">
        <v>4116</v>
      </c>
      <c r="F46" s="12"/>
    </row>
    <row r="47" spans="1:6" x14ac:dyDescent="0.3">
      <c r="A47" s="12" t="s">
        <v>4117</v>
      </c>
      <c r="B47" s="12" t="s">
        <v>4073</v>
      </c>
      <c r="C47" s="12" t="s">
        <v>4118</v>
      </c>
      <c r="D47" s="11" t="s">
        <v>37</v>
      </c>
      <c r="E47" s="12" t="s">
        <v>4119</v>
      </c>
      <c r="F47" s="12"/>
    </row>
    <row r="48" spans="1:6" x14ac:dyDescent="0.3">
      <c r="A48" s="12" t="s">
        <v>4120</v>
      </c>
      <c r="B48" s="12" t="s">
        <v>4073</v>
      </c>
      <c r="C48" s="12" t="s">
        <v>4121</v>
      </c>
      <c r="D48" s="11" t="s">
        <v>4010</v>
      </c>
      <c r="E48" s="12"/>
      <c r="F48" s="12" t="s">
        <v>4122</v>
      </c>
    </row>
    <row r="49" spans="1:6" x14ac:dyDescent="0.3">
      <c r="A49" s="12" t="s">
        <v>4123</v>
      </c>
      <c r="B49" s="12" t="s">
        <v>4073</v>
      </c>
      <c r="C49" s="12" t="s">
        <v>4124</v>
      </c>
      <c r="D49" s="11" t="s">
        <v>4010</v>
      </c>
      <c r="E49" s="12"/>
      <c r="F49" s="12" t="s">
        <v>4122</v>
      </c>
    </row>
    <row r="50" spans="1:6" ht="39.6" x14ac:dyDescent="0.3">
      <c r="A50" s="12" t="s">
        <v>4125</v>
      </c>
      <c r="B50" s="12" t="s">
        <v>4073</v>
      </c>
      <c r="C50" s="12" t="s">
        <v>4126</v>
      </c>
      <c r="D50" s="11" t="s">
        <v>37</v>
      </c>
      <c r="E50" s="12" t="s">
        <v>4127</v>
      </c>
      <c r="F50" s="12"/>
    </row>
    <row r="51" spans="1:6" x14ac:dyDescent="0.3">
      <c r="A51" s="12" t="s">
        <v>4128</v>
      </c>
      <c r="B51" s="12" t="s">
        <v>4073</v>
      </c>
      <c r="C51" s="12" t="s">
        <v>4129</v>
      </c>
      <c r="D51" s="11" t="s">
        <v>37</v>
      </c>
      <c r="E51" s="12" t="s">
        <v>941</v>
      </c>
      <c r="F51" s="12"/>
    </row>
    <row r="52" spans="1:6" x14ac:dyDescent="0.3">
      <c r="A52" s="12" t="s">
        <v>4130</v>
      </c>
      <c r="B52" s="12" t="s">
        <v>4073</v>
      </c>
      <c r="C52" s="12" t="s">
        <v>4131</v>
      </c>
      <c r="D52" s="11" t="s">
        <v>37</v>
      </c>
      <c r="E52" s="12" t="s">
        <v>4132</v>
      </c>
      <c r="F52" s="12"/>
    </row>
    <row r="53" spans="1:6" x14ac:dyDescent="0.3">
      <c r="A53" s="12" t="s">
        <v>4133</v>
      </c>
      <c r="B53" s="12" t="s">
        <v>4073</v>
      </c>
      <c r="C53" s="12" t="s">
        <v>4134</v>
      </c>
      <c r="D53" s="11" t="s">
        <v>37</v>
      </c>
      <c r="E53" s="12" t="s">
        <v>4135</v>
      </c>
      <c r="F53" s="12"/>
    </row>
    <row r="54" spans="1:6" x14ac:dyDescent="0.3">
      <c r="A54" s="12" t="s">
        <v>4136</v>
      </c>
      <c r="B54" s="12" t="s">
        <v>4073</v>
      </c>
      <c r="C54" s="12" t="s">
        <v>4137</v>
      </c>
      <c r="D54" s="11" t="s">
        <v>37</v>
      </c>
      <c r="E54" s="12" t="s">
        <v>4138</v>
      </c>
      <c r="F54" s="12"/>
    </row>
    <row r="55" spans="1:6" x14ac:dyDescent="0.3">
      <c r="A55" s="12" t="s">
        <v>4139</v>
      </c>
      <c r="B55" s="12" t="s">
        <v>4073</v>
      </c>
      <c r="C55" s="12" t="s">
        <v>4140</v>
      </c>
      <c r="D55" s="11" t="s">
        <v>37</v>
      </c>
      <c r="E55" s="12" t="s">
        <v>1014</v>
      </c>
      <c r="F55" s="12"/>
    </row>
    <row r="56" spans="1:6" ht="39.6" x14ac:dyDescent="0.3">
      <c r="A56" s="12" t="s">
        <v>4141</v>
      </c>
      <c r="B56" s="12" t="s">
        <v>4142</v>
      </c>
      <c r="C56" s="12" t="s">
        <v>4016</v>
      </c>
      <c r="D56" s="11" t="s">
        <v>37</v>
      </c>
      <c r="E56" s="12" t="s">
        <v>4143</v>
      </c>
      <c r="F56" s="12"/>
    </row>
    <row r="57" spans="1:6" ht="39.6" x14ac:dyDescent="0.3">
      <c r="A57" s="12" t="s">
        <v>4144</v>
      </c>
      <c r="B57" s="12" t="s">
        <v>4142</v>
      </c>
      <c r="C57" s="12" t="s">
        <v>4019</v>
      </c>
      <c r="D57" s="11" t="s">
        <v>37</v>
      </c>
      <c r="E57" s="12" t="s">
        <v>4143</v>
      </c>
      <c r="F57" s="12"/>
    </row>
    <row r="58" spans="1:6" x14ac:dyDescent="0.3">
      <c r="A58" s="12" t="s">
        <v>4145</v>
      </c>
      <c r="B58" s="12" t="s">
        <v>4142</v>
      </c>
      <c r="C58" s="12" t="s">
        <v>4146</v>
      </c>
      <c r="D58" s="11" t="s">
        <v>37</v>
      </c>
      <c r="E58" s="12" t="s">
        <v>4147</v>
      </c>
      <c r="F58" s="12"/>
    </row>
    <row r="59" spans="1:6" x14ac:dyDescent="0.3">
      <c r="A59" s="12" t="s">
        <v>4148</v>
      </c>
      <c r="B59" s="12" t="s">
        <v>4013</v>
      </c>
      <c r="C59" s="12" t="s">
        <v>4009</v>
      </c>
      <c r="D59" s="11" t="s">
        <v>4010</v>
      </c>
      <c r="E59" s="12"/>
      <c r="F59" s="12" t="s">
        <v>4149</v>
      </c>
    </row>
    <row r="60" spans="1:6" x14ac:dyDescent="0.3">
      <c r="A60" s="12" t="s">
        <v>4150</v>
      </c>
      <c r="B60" s="12" t="s">
        <v>4151</v>
      </c>
      <c r="C60" s="12" t="s">
        <v>4152</v>
      </c>
      <c r="D60" s="11" t="s">
        <v>37</v>
      </c>
      <c r="E60" s="12" t="s">
        <v>3403</v>
      </c>
      <c r="F60" s="12"/>
    </row>
    <row r="61" spans="1:6" x14ac:dyDescent="0.3">
      <c r="A61" s="12" t="s">
        <v>4153</v>
      </c>
      <c r="B61" s="12" t="s">
        <v>4151</v>
      </c>
      <c r="C61" s="12" t="s">
        <v>4154</v>
      </c>
      <c r="D61" s="11" t="s">
        <v>37</v>
      </c>
      <c r="E61" s="12" t="s">
        <v>3403</v>
      </c>
      <c r="F61" s="12"/>
    </row>
    <row r="62" spans="1:6" x14ac:dyDescent="0.3">
      <c r="A62" s="12" t="s">
        <v>4155</v>
      </c>
      <c r="B62" s="12" t="s">
        <v>4013</v>
      </c>
      <c r="C62" s="12" t="s">
        <v>4009</v>
      </c>
      <c r="D62" s="11" t="s">
        <v>37</v>
      </c>
      <c r="E62" s="12" t="s">
        <v>3688</v>
      </c>
      <c r="F62" s="12"/>
    </row>
    <row r="63" spans="1:6" x14ac:dyDescent="0.3">
      <c r="A63" s="12" t="s">
        <v>4155</v>
      </c>
      <c r="B63" s="12" t="s">
        <v>4156</v>
      </c>
      <c r="C63" s="12" t="s">
        <v>4016</v>
      </c>
      <c r="D63" s="11" t="s">
        <v>37</v>
      </c>
      <c r="E63" s="12" t="s">
        <v>3688</v>
      </c>
      <c r="F63" s="12"/>
    </row>
    <row r="64" spans="1:6" x14ac:dyDescent="0.3">
      <c r="A64" s="12" t="s">
        <v>4157</v>
      </c>
      <c r="B64" s="12" t="s">
        <v>4156</v>
      </c>
      <c r="C64" s="12" t="s">
        <v>4154</v>
      </c>
      <c r="D64" s="11" t="s">
        <v>37</v>
      </c>
      <c r="E64" s="12" t="s">
        <v>3688</v>
      </c>
      <c r="F64" s="12"/>
    </row>
    <row r="65" spans="1:6" ht="39.6" x14ac:dyDescent="0.3">
      <c r="A65" s="12" t="s">
        <v>4158</v>
      </c>
      <c r="B65" s="12" t="s">
        <v>4156</v>
      </c>
      <c r="C65" s="12" t="s">
        <v>4159</v>
      </c>
      <c r="D65" s="11" t="s">
        <v>4010</v>
      </c>
      <c r="E65" s="12"/>
      <c r="F65" s="12" t="s">
        <v>4160</v>
      </c>
    </row>
    <row r="66" spans="1:6" ht="39.6" x14ac:dyDescent="0.3">
      <c r="A66" s="12" t="s">
        <v>4161</v>
      </c>
      <c r="B66" s="12" t="s">
        <v>4156</v>
      </c>
      <c r="C66" s="12" t="s">
        <v>4162</v>
      </c>
      <c r="D66" s="11" t="s">
        <v>4010</v>
      </c>
      <c r="E66" s="12"/>
      <c r="F66" s="12" t="s">
        <v>4160</v>
      </c>
    </row>
    <row r="67" spans="1:6" ht="39.6" x14ac:dyDescent="0.3">
      <c r="A67" s="12" t="s">
        <v>4163</v>
      </c>
      <c r="B67" s="12" t="s">
        <v>4156</v>
      </c>
      <c r="C67" s="12" t="s">
        <v>4164</v>
      </c>
      <c r="D67" s="11" t="s">
        <v>4010</v>
      </c>
      <c r="E67" s="12"/>
      <c r="F67" s="12" t="s">
        <v>4160</v>
      </c>
    </row>
    <row r="68" spans="1:6" ht="39.6" x14ac:dyDescent="0.3">
      <c r="A68" s="12" t="s">
        <v>4165</v>
      </c>
      <c r="B68" s="12" t="s">
        <v>4156</v>
      </c>
      <c r="C68" s="12" t="s">
        <v>4166</v>
      </c>
      <c r="D68" s="11" t="s">
        <v>4010</v>
      </c>
      <c r="E68" s="12"/>
      <c r="F68" s="12" t="s">
        <v>4160</v>
      </c>
    </row>
    <row r="69" spans="1:6" ht="39.6" x14ac:dyDescent="0.3">
      <c r="A69" s="12" t="s">
        <v>4167</v>
      </c>
      <c r="B69" s="12" t="s">
        <v>4156</v>
      </c>
      <c r="C69" s="12" t="s">
        <v>4168</v>
      </c>
      <c r="D69" s="11" t="s">
        <v>4010</v>
      </c>
      <c r="E69" s="12"/>
      <c r="F69" s="12" t="s">
        <v>4160</v>
      </c>
    </row>
    <row r="70" spans="1:6" ht="39.6" x14ac:dyDescent="0.3">
      <c r="A70" s="12" t="s">
        <v>4169</v>
      </c>
      <c r="B70" s="12" t="s">
        <v>4156</v>
      </c>
      <c r="C70" s="12" t="s">
        <v>4170</v>
      </c>
      <c r="D70" s="11" t="s">
        <v>4010</v>
      </c>
      <c r="E70" s="12"/>
      <c r="F70" s="12" t="s">
        <v>4160</v>
      </c>
    </row>
    <row r="71" spans="1:6" ht="39.6" x14ac:dyDescent="0.3">
      <c r="A71" s="12" t="s">
        <v>4171</v>
      </c>
      <c r="B71" s="12" t="s">
        <v>4156</v>
      </c>
      <c r="C71" s="12" t="s">
        <v>4086</v>
      </c>
      <c r="D71" s="11" t="s">
        <v>4010</v>
      </c>
      <c r="E71" s="12"/>
      <c r="F71" s="12" t="s">
        <v>4160</v>
      </c>
    </row>
    <row r="72" spans="1:6" ht="39.6" x14ac:dyDescent="0.3">
      <c r="A72" s="12" t="s">
        <v>4172</v>
      </c>
      <c r="B72" s="12" t="s">
        <v>4156</v>
      </c>
      <c r="C72" s="12" t="s">
        <v>4173</v>
      </c>
      <c r="D72" s="11" t="s">
        <v>4010</v>
      </c>
      <c r="E72" s="12"/>
      <c r="F72" s="12" t="s">
        <v>4160</v>
      </c>
    </row>
    <row r="73" spans="1:6" ht="39.6" x14ac:dyDescent="0.3">
      <c r="A73" s="12" t="s">
        <v>4174</v>
      </c>
      <c r="B73" s="12" t="s">
        <v>4156</v>
      </c>
      <c r="C73" s="12" t="s">
        <v>4175</v>
      </c>
      <c r="D73" s="11" t="s">
        <v>4010</v>
      </c>
      <c r="E73" s="12"/>
      <c r="F73" s="12" t="s">
        <v>4160</v>
      </c>
    </row>
    <row r="74" spans="1:6" ht="39.6" x14ac:dyDescent="0.3">
      <c r="A74" s="12" t="s">
        <v>4176</v>
      </c>
      <c r="B74" s="12" t="s">
        <v>4156</v>
      </c>
      <c r="C74" s="12" t="s">
        <v>4177</v>
      </c>
      <c r="D74" s="11" t="s">
        <v>4010</v>
      </c>
      <c r="E74" s="12"/>
      <c r="F74" s="12" t="s">
        <v>4160</v>
      </c>
    </row>
    <row r="75" spans="1:6" ht="39.6" x14ac:dyDescent="0.3">
      <c r="A75" s="12" t="s">
        <v>4178</v>
      </c>
      <c r="B75" s="12" t="s">
        <v>4156</v>
      </c>
      <c r="C75" s="12" t="s">
        <v>4179</v>
      </c>
      <c r="D75" s="11" t="s">
        <v>4010</v>
      </c>
      <c r="E75" s="12"/>
      <c r="F75" s="12" t="s">
        <v>4160</v>
      </c>
    </row>
    <row r="76" spans="1:6" ht="39.6" x14ac:dyDescent="0.3">
      <c r="A76" s="12" t="s">
        <v>4180</v>
      </c>
      <c r="B76" s="12" t="s">
        <v>4156</v>
      </c>
      <c r="C76" s="12" t="s">
        <v>4181</v>
      </c>
      <c r="D76" s="11" t="s">
        <v>4010</v>
      </c>
      <c r="E76" s="12"/>
      <c r="F76" s="12" t="s">
        <v>4160</v>
      </c>
    </row>
    <row r="77" spans="1:6" ht="39.6" x14ac:dyDescent="0.3">
      <c r="A77" s="12" t="s">
        <v>4182</v>
      </c>
      <c r="B77" s="12" t="s">
        <v>4156</v>
      </c>
      <c r="C77" s="12" t="s">
        <v>4183</v>
      </c>
      <c r="D77" s="11" t="s">
        <v>4010</v>
      </c>
      <c r="E77" s="12"/>
      <c r="F77" s="12" t="s">
        <v>4160</v>
      </c>
    </row>
    <row r="78" spans="1:6" ht="39.6" x14ac:dyDescent="0.3">
      <c r="A78" s="12" t="s">
        <v>4184</v>
      </c>
      <c r="B78" s="12" t="s">
        <v>4156</v>
      </c>
      <c r="C78" s="12" t="s">
        <v>4185</v>
      </c>
      <c r="D78" s="11" t="s">
        <v>4010</v>
      </c>
      <c r="E78" s="12"/>
      <c r="F78" s="12" t="s">
        <v>4160</v>
      </c>
    </row>
    <row r="79" spans="1:6" ht="39.6" x14ac:dyDescent="0.3">
      <c r="A79" s="12" t="s">
        <v>4186</v>
      </c>
      <c r="B79" s="12" t="s">
        <v>4156</v>
      </c>
      <c r="C79" s="12" t="s">
        <v>4187</v>
      </c>
      <c r="D79" s="11" t="s">
        <v>4010</v>
      </c>
      <c r="E79" s="12"/>
      <c r="F79" s="12" t="s">
        <v>4160</v>
      </c>
    </row>
    <row r="80" spans="1:6" ht="39.6" x14ac:dyDescent="0.3">
      <c r="A80" s="12" t="s">
        <v>4188</v>
      </c>
      <c r="B80" s="12" t="s">
        <v>4156</v>
      </c>
      <c r="C80" s="12" t="s">
        <v>4189</v>
      </c>
      <c r="D80" s="11" t="s">
        <v>4010</v>
      </c>
      <c r="E80" s="12"/>
      <c r="F80" s="12" t="s">
        <v>4160</v>
      </c>
    </row>
    <row r="81" spans="1:6" ht="39.6" x14ac:dyDescent="0.3">
      <c r="A81" s="12" t="s">
        <v>4190</v>
      </c>
      <c r="B81" s="12" t="s">
        <v>4156</v>
      </c>
      <c r="C81" s="12" t="s">
        <v>4191</v>
      </c>
      <c r="D81" s="11" t="s">
        <v>4010</v>
      </c>
      <c r="E81" s="12"/>
      <c r="F81" s="12" t="s">
        <v>4160</v>
      </c>
    </row>
    <row r="82" spans="1:6" ht="39.6" x14ac:dyDescent="0.3">
      <c r="A82" s="12" t="s">
        <v>4192</v>
      </c>
      <c r="B82" s="12" t="s">
        <v>4156</v>
      </c>
      <c r="C82" s="12" t="s">
        <v>4193</v>
      </c>
      <c r="D82" s="11" t="s">
        <v>4010</v>
      </c>
      <c r="E82" s="12"/>
      <c r="F82" s="12" t="s">
        <v>4160</v>
      </c>
    </row>
    <row r="83" spans="1:6" ht="39.6" x14ac:dyDescent="0.3">
      <c r="A83" s="12" t="s">
        <v>4194</v>
      </c>
      <c r="B83" s="12" t="s">
        <v>4156</v>
      </c>
      <c r="C83" s="12" t="s">
        <v>4195</v>
      </c>
      <c r="D83" s="11" t="s">
        <v>4010</v>
      </c>
      <c r="E83" s="12"/>
      <c r="F83" s="12" t="s">
        <v>4160</v>
      </c>
    </row>
    <row r="84" spans="1:6" x14ac:dyDescent="0.3">
      <c r="A84" s="12" t="s">
        <v>4196</v>
      </c>
      <c r="B84" s="12" t="s">
        <v>4197</v>
      </c>
      <c r="C84" s="12" t="s">
        <v>4009</v>
      </c>
      <c r="D84" s="11" t="s">
        <v>37</v>
      </c>
      <c r="E84" s="12" t="s">
        <v>4198</v>
      </c>
      <c r="F84" s="12"/>
    </row>
    <row r="85" spans="1:6" x14ac:dyDescent="0.3">
      <c r="A85" s="12" t="s">
        <v>4199</v>
      </c>
      <c r="B85" s="12" t="s">
        <v>4200</v>
      </c>
      <c r="C85" s="12" t="s">
        <v>4009</v>
      </c>
      <c r="D85" s="11" t="s">
        <v>37</v>
      </c>
      <c r="E85" s="12" t="s">
        <v>4201</v>
      </c>
      <c r="F85" s="12"/>
    </row>
    <row r="86" spans="1:6" x14ac:dyDescent="0.3">
      <c r="A86" s="12" t="s">
        <v>4202</v>
      </c>
      <c r="B86" s="12" t="s">
        <v>4203</v>
      </c>
      <c r="C86" s="12" t="s">
        <v>4009</v>
      </c>
      <c r="D86" s="11" t="s">
        <v>37</v>
      </c>
      <c r="E86" s="12" t="s">
        <v>183</v>
      </c>
      <c r="F86" s="12"/>
    </row>
    <row r="87" spans="1:6" x14ac:dyDescent="0.3">
      <c r="A87" s="12" t="s">
        <v>4204</v>
      </c>
      <c r="B87" s="12" t="s">
        <v>4205</v>
      </c>
      <c r="C87" s="12" t="s">
        <v>4009</v>
      </c>
      <c r="D87" s="11" t="s">
        <v>37</v>
      </c>
      <c r="E87" s="12" t="s">
        <v>4206</v>
      </c>
      <c r="F87" s="12"/>
    </row>
    <row r="88" spans="1:6" x14ac:dyDescent="0.3">
      <c r="A88" s="12" t="s">
        <v>4207</v>
      </c>
      <c r="B88" s="12" t="s">
        <v>4208</v>
      </c>
      <c r="C88" s="12" t="s">
        <v>4009</v>
      </c>
      <c r="D88" s="11" t="s">
        <v>37</v>
      </c>
      <c r="E88" s="12" t="s">
        <v>4209</v>
      </c>
      <c r="F88" s="12"/>
    </row>
    <row r="89" spans="1:6" x14ac:dyDescent="0.3">
      <c r="A89" s="12" t="s">
        <v>4210</v>
      </c>
      <c r="B89" s="12" t="s">
        <v>4211</v>
      </c>
      <c r="C89" s="12" t="s">
        <v>4009</v>
      </c>
      <c r="D89" s="11" t="s">
        <v>37</v>
      </c>
      <c r="E89" s="12" t="s">
        <v>137</v>
      </c>
      <c r="F89" s="12"/>
    </row>
    <row r="90" spans="1:6" x14ac:dyDescent="0.3">
      <c r="A90" s="12" t="s">
        <v>4212</v>
      </c>
      <c r="B90" s="12" t="s">
        <v>4213</v>
      </c>
      <c r="C90" s="12" t="s">
        <v>4009</v>
      </c>
      <c r="D90" s="11" t="s">
        <v>4010</v>
      </c>
      <c r="E90" s="12"/>
      <c r="F90" s="12" t="s">
        <v>4214</v>
      </c>
    </row>
    <row r="91" spans="1:6" x14ac:dyDescent="0.3">
      <c r="A91" s="12" t="s">
        <v>4215</v>
      </c>
      <c r="B91" s="12" t="s">
        <v>4216</v>
      </c>
      <c r="C91" s="12" t="s">
        <v>4009</v>
      </c>
      <c r="D91" s="11" t="s">
        <v>37</v>
      </c>
      <c r="E91" s="12" t="s">
        <v>4217</v>
      </c>
      <c r="F91" s="12"/>
    </row>
    <row r="92" spans="1:6" x14ac:dyDescent="0.3">
      <c r="A92" s="12" t="s">
        <v>4218</v>
      </c>
      <c r="B92" s="12" t="s">
        <v>4013</v>
      </c>
      <c r="C92" s="12" t="s">
        <v>4009</v>
      </c>
      <c r="D92" s="11" t="s">
        <v>4010</v>
      </c>
      <c r="E92" s="12"/>
      <c r="F92" s="12" t="s">
        <v>4149</v>
      </c>
    </row>
    <row r="93" spans="1:6" x14ac:dyDescent="0.3">
      <c r="A93" s="12" t="s">
        <v>4219</v>
      </c>
      <c r="B93" s="12" t="s">
        <v>4220</v>
      </c>
      <c r="C93" s="12" t="s">
        <v>4016</v>
      </c>
      <c r="D93" s="11" t="s">
        <v>37</v>
      </c>
      <c r="E93" s="12" t="s">
        <v>1393</v>
      </c>
      <c r="F93" s="12"/>
    </row>
    <row r="94" spans="1:6" ht="26.4" x14ac:dyDescent="0.3">
      <c r="A94" s="12" t="s">
        <v>4221</v>
      </c>
      <c r="B94" s="12" t="s">
        <v>4220</v>
      </c>
      <c r="C94" s="12" t="s">
        <v>4019</v>
      </c>
      <c r="D94" s="11" t="s">
        <v>37</v>
      </c>
      <c r="E94" s="12" t="s">
        <v>1393</v>
      </c>
      <c r="F94" s="12"/>
    </row>
    <row r="95" spans="1:6" x14ac:dyDescent="0.3">
      <c r="A95" s="12" t="s">
        <v>4222</v>
      </c>
      <c r="B95" s="12" t="s">
        <v>4220</v>
      </c>
      <c r="C95" s="12" t="s">
        <v>4223</v>
      </c>
      <c r="D95" s="11" t="s">
        <v>37</v>
      </c>
      <c r="E95" s="12" t="s">
        <v>1393</v>
      </c>
      <c r="F95" s="12"/>
    </row>
    <row r="96" spans="1:6" ht="26.4" x14ac:dyDescent="0.3">
      <c r="A96" s="12" t="s">
        <v>4224</v>
      </c>
      <c r="B96" s="12" t="s">
        <v>4220</v>
      </c>
      <c r="C96" s="12" t="s">
        <v>4225</v>
      </c>
      <c r="D96" s="11" t="s">
        <v>37</v>
      </c>
      <c r="E96" s="12" t="s">
        <v>1393</v>
      </c>
      <c r="F96" s="12"/>
    </row>
    <row r="97" spans="1:6" ht="39.6" x14ac:dyDescent="0.3">
      <c r="A97" s="12" t="s">
        <v>4226</v>
      </c>
      <c r="B97" s="12" t="s">
        <v>4227</v>
      </c>
      <c r="C97" s="12" t="s">
        <v>4152</v>
      </c>
      <c r="D97" s="11" t="s">
        <v>37</v>
      </c>
      <c r="E97" s="12" t="s">
        <v>4228</v>
      </c>
      <c r="F97" s="12"/>
    </row>
    <row r="98" spans="1:6" ht="39.6" x14ac:dyDescent="0.3">
      <c r="A98" s="12" t="s">
        <v>4229</v>
      </c>
      <c r="B98" s="12" t="s">
        <v>4227</v>
      </c>
      <c r="C98" s="12" t="s">
        <v>4154</v>
      </c>
      <c r="D98" s="11" t="s">
        <v>37</v>
      </c>
      <c r="E98" s="12" t="s">
        <v>4228</v>
      </c>
      <c r="F98" s="12"/>
    </row>
    <row r="99" spans="1:6" x14ac:dyDescent="0.3">
      <c r="A99" s="12" t="s">
        <v>4230</v>
      </c>
      <c r="B99" s="12" t="s">
        <v>4227</v>
      </c>
      <c r="C99" s="12" t="s">
        <v>4231</v>
      </c>
      <c r="D99" s="11" t="s">
        <v>37</v>
      </c>
      <c r="E99" s="12" t="s">
        <v>1385</v>
      </c>
      <c r="F99" s="12"/>
    </row>
    <row r="100" spans="1:6" x14ac:dyDescent="0.3">
      <c r="A100" s="12" t="s">
        <v>4232</v>
      </c>
      <c r="B100" s="12" t="s">
        <v>4233</v>
      </c>
      <c r="C100" s="12" t="s">
        <v>4009</v>
      </c>
      <c r="D100" s="11" t="s">
        <v>37</v>
      </c>
      <c r="E100" s="12" t="s">
        <v>4234</v>
      </c>
      <c r="F100" s="12"/>
    </row>
    <row r="101" spans="1:6" x14ac:dyDescent="0.3">
      <c r="A101" s="12" t="s">
        <v>4235</v>
      </c>
      <c r="B101" s="12" t="s">
        <v>4236</v>
      </c>
      <c r="C101" s="12" t="s">
        <v>4009</v>
      </c>
      <c r="D101" s="11" t="s">
        <v>37</v>
      </c>
      <c r="E101" s="12" t="s">
        <v>4237</v>
      </c>
      <c r="F101" s="12"/>
    </row>
    <row r="102" spans="1:6" x14ac:dyDescent="0.3">
      <c r="A102" s="12" t="s">
        <v>4238</v>
      </c>
      <c r="B102" s="12" t="s">
        <v>4236</v>
      </c>
      <c r="C102" s="12" t="s">
        <v>4009</v>
      </c>
      <c r="D102" s="11" t="s">
        <v>37</v>
      </c>
      <c r="E102" s="12" t="s">
        <v>4237</v>
      </c>
      <c r="F102" s="12"/>
    </row>
    <row r="103" spans="1:6" ht="39.6" x14ac:dyDescent="0.3">
      <c r="A103" s="12" t="s">
        <v>4239</v>
      </c>
      <c r="B103" s="12" t="s">
        <v>4240</v>
      </c>
      <c r="C103" s="12" t="s">
        <v>4009</v>
      </c>
      <c r="D103" s="11" t="s">
        <v>37</v>
      </c>
      <c r="E103" s="12" t="s">
        <v>4241</v>
      </c>
      <c r="F103" s="12"/>
    </row>
    <row r="104" spans="1:6" x14ac:dyDescent="0.3">
      <c r="A104" s="12" t="s">
        <v>4242</v>
      </c>
      <c r="B104" s="12" t="s">
        <v>4013</v>
      </c>
      <c r="C104" s="12" t="s">
        <v>4009</v>
      </c>
      <c r="D104" s="11" t="s">
        <v>37</v>
      </c>
      <c r="E104" s="12" t="s">
        <v>1949</v>
      </c>
      <c r="F104" s="12"/>
    </row>
    <row r="105" spans="1:6" ht="39.6" x14ac:dyDescent="0.3">
      <c r="A105" s="12" t="s">
        <v>4243</v>
      </c>
      <c r="B105" s="12" t="s">
        <v>4244</v>
      </c>
      <c r="C105" s="12" t="s">
        <v>4016</v>
      </c>
      <c r="D105" s="11" t="s">
        <v>37</v>
      </c>
      <c r="E105" s="12" t="s">
        <v>4245</v>
      </c>
      <c r="F105" s="12"/>
    </row>
    <row r="106" spans="1:6" ht="39.6" x14ac:dyDescent="0.3">
      <c r="A106" s="12" t="s">
        <v>4246</v>
      </c>
      <c r="B106" s="12" t="s">
        <v>4244</v>
      </c>
      <c r="C106" s="12" t="s">
        <v>4019</v>
      </c>
      <c r="D106" s="11" t="s">
        <v>37</v>
      </c>
      <c r="E106" s="12" t="s">
        <v>4245</v>
      </c>
      <c r="F106" s="12"/>
    </row>
    <row r="107" spans="1:6" ht="26.4" x14ac:dyDescent="0.3">
      <c r="A107" s="12" t="s">
        <v>4247</v>
      </c>
      <c r="B107" s="12" t="s">
        <v>4244</v>
      </c>
      <c r="C107" s="12" t="s">
        <v>4248</v>
      </c>
      <c r="D107" s="11" t="s">
        <v>37</v>
      </c>
      <c r="E107" s="12" t="s">
        <v>1801</v>
      </c>
      <c r="F107" s="12"/>
    </row>
    <row r="108" spans="1:6" x14ac:dyDescent="0.3">
      <c r="A108" s="12" t="s">
        <v>4249</v>
      </c>
      <c r="B108" s="12" t="s">
        <v>4244</v>
      </c>
      <c r="C108" s="12" t="s">
        <v>4250</v>
      </c>
      <c r="D108" s="11" t="s">
        <v>37</v>
      </c>
      <c r="E108" s="12" t="s">
        <v>1841</v>
      </c>
      <c r="F108" s="12"/>
    </row>
    <row r="109" spans="1:6" x14ac:dyDescent="0.3">
      <c r="A109" s="12" t="s">
        <v>4251</v>
      </c>
      <c r="B109" s="12" t="s">
        <v>4244</v>
      </c>
      <c r="C109" s="12" t="s">
        <v>4252</v>
      </c>
      <c r="D109" s="11" t="s">
        <v>37</v>
      </c>
      <c r="E109" s="12" t="s">
        <v>1795</v>
      </c>
      <c r="F109" s="12"/>
    </row>
    <row r="110" spans="1:6" ht="26.4" x14ac:dyDescent="0.3">
      <c r="A110" s="12" t="s">
        <v>4253</v>
      </c>
      <c r="B110" s="12" t="s">
        <v>4254</v>
      </c>
      <c r="C110" s="12" t="s">
        <v>4016</v>
      </c>
      <c r="D110" s="11" t="s">
        <v>37</v>
      </c>
      <c r="E110" s="12" t="s">
        <v>4255</v>
      </c>
      <c r="F110" s="12"/>
    </row>
    <row r="111" spans="1:6" ht="26.4" x14ac:dyDescent="0.3">
      <c r="A111" s="12" t="s">
        <v>4256</v>
      </c>
      <c r="B111" s="12" t="s">
        <v>4254</v>
      </c>
      <c r="C111" s="12" t="s">
        <v>4019</v>
      </c>
      <c r="D111" s="11" t="s">
        <v>37</v>
      </c>
      <c r="E111" s="12" t="s">
        <v>4255</v>
      </c>
      <c r="F111" s="12"/>
    </row>
    <row r="112" spans="1:6" x14ac:dyDescent="0.3">
      <c r="A112" s="12" t="s">
        <v>4257</v>
      </c>
      <c r="B112" s="12" t="s">
        <v>4254</v>
      </c>
      <c r="C112" s="12" t="s">
        <v>4252</v>
      </c>
      <c r="D112" s="11" t="s">
        <v>37</v>
      </c>
      <c r="E112" s="12" t="s">
        <v>1870</v>
      </c>
      <c r="F112" s="12"/>
    </row>
    <row r="113" spans="1:6" x14ac:dyDescent="0.3">
      <c r="A113" s="12" t="s">
        <v>4258</v>
      </c>
      <c r="B113" s="12" t="s">
        <v>4254</v>
      </c>
      <c r="C113" s="12" t="s">
        <v>4259</v>
      </c>
      <c r="D113" s="11" t="s">
        <v>37</v>
      </c>
      <c r="E113" s="12" t="s">
        <v>1881</v>
      </c>
      <c r="F113" s="12"/>
    </row>
    <row r="114" spans="1:6" x14ac:dyDescent="0.3">
      <c r="A114" s="12" t="s">
        <v>4260</v>
      </c>
      <c r="B114" s="12" t="s">
        <v>4261</v>
      </c>
      <c r="C114" s="12" t="s">
        <v>4016</v>
      </c>
      <c r="D114" s="11" t="s">
        <v>37</v>
      </c>
      <c r="E114" s="12" t="s">
        <v>1942</v>
      </c>
      <c r="F114" s="12"/>
    </row>
    <row r="115" spans="1:6" ht="26.4" x14ac:dyDescent="0.3">
      <c r="A115" s="12" t="s">
        <v>4262</v>
      </c>
      <c r="B115" s="12" t="s">
        <v>4261</v>
      </c>
      <c r="C115" s="12" t="s">
        <v>4019</v>
      </c>
      <c r="D115" s="11" t="s">
        <v>37</v>
      </c>
      <c r="E115" s="12" t="s">
        <v>1942</v>
      </c>
      <c r="F115" s="12"/>
    </row>
    <row r="116" spans="1:6" x14ac:dyDescent="0.3">
      <c r="A116" s="12" t="s">
        <v>4263</v>
      </c>
      <c r="B116" s="12" t="s">
        <v>4261</v>
      </c>
      <c r="C116" s="12" t="s">
        <v>4159</v>
      </c>
      <c r="D116" s="11" t="s">
        <v>37</v>
      </c>
      <c r="E116" s="12" t="s">
        <v>1942</v>
      </c>
      <c r="F116" s="12"/>
    </row>
    <row r="117" spans="1:6" x14ac:dyDescent="0.3">
      <c r="A117" s="12" t="s">
        <v>4264</v>
      </c>
      <c r="B117" s="12" t="s">
        <v>4261</v>
      </c>
      <c r="C117" s="12" t="s">
        <v>4265</v>
      </c>
      <c r="D117" s="11" t="s">
        <v>37</v>
      </c>
      <c r="E117" s="12" t="s">
        <v>1942</v>
      </c>
      <c r="F117" s="12"/>
    </row>
    <row r="118" spans="1:6" ht="26.4" x14ac:dyDescent="0.3">
      <c r="A118" s="12" t="s">
        <v>4266</v>
      </c>
      <c r="B118" s="12" t="s">
        <v>4261</v>
      </c>
      <c r="C118" s="12" t="s">
        <v>4267</v>
      </c>
      <c r="D118" s="11" t="s">
        <v>37</v>
      </c>
      <c r="E118" s="12" t="s">
        <v>1942</v>
      </c>
      <c r="F118" s="12"/>
    </row>
    <row r="119" spans="1:6" ht="39.6" x14ac:dyDescent="0.3">
      <c r="A119" s="12" t="s">
        <v>4268</v>
      </c>
      <c r="B119" s="12" t="s">
        <v>4261</v>
      </c>
      <c r="C119" s="12" t="s">
        <v>4269</v>
      </c>
      <c r="D119" s="11" t="s">
        <v>4010</v>
      </c>
      <c r="E119" s="12"/>
      <c r="F119" s="12" t="s">
        <v>4270</v>
      </c>
    </row>
    <row r="120" spans="1:6" ht="39.6" x14ac:dyDescent="0.3">
      <c r="A120" s="12" t="s">
        <v>4271</v>
      </c>
      <c r="B120" s="12" t="s">
        <v>4261</v>
      </c>
      <c r="C120" s="12" t="s">
        <v>4272</v>
      </c>
      <c r="D120" s="11" t="s">
        <v>4010</v>
      </c>
      <c r="E120" s="12"/>
      <c r="F120" s="12" t="s">
        <v>4270</v>
      </c>
    </row>
    <row r="121" spans="1:6" ht="39.6" x14ac:dyDescent="0.3">
      <c r="A121" s="12" t="s">
        <v>4273</v>
      </c>
      <c r="B121" s="12" t="s">
        <v>4261</v>
      </c>
      <c r="C121" s="12" t="s">
        <v>4274</v>
      </c>
      <c r="D121" s="11" t="s">
        <v>4010</v>
      </c>
      <c r="E121" s="12"/>
      <c r="F121" s="12" t="s">
        <v>4270</v>
      </c>
    </row>
    <row r="122" spans="1:6" x14ac:dyDescent="0.3">
      <c r="A122" s="12" t="s">
        <v>4275</v>
      </c>
      <c r="B122" s="12" t="s">
        <v>4261</v>
      </c>
      <c r="C122" s="12" t="s">
        <v>4276</v>
      </c>
      <c r="D122" s="11" t="s">
        <v>37</v>
      </c>
      <c r="E122" s="12" t="s">
        <v>1942</v>
      </c>
      <c r="F122" s="12"/>
    </row>
    <row r="123" spans="1:6" x14ac:dyDescent="0.3">
      <c r="A123" s="12" t="s">
        <v>4277</v>
      </c>
      <c r="B123" s="12" t="s">
        <v>4278</v>
      </c>
      <c r="C123" s="12" t="s">
        <v>4016</v>
      </c>
      <c r="D123" s="11" t="s">
        <v>37</v>
      </c>
      <c r="E123" s="12" t="s">
        <v>4279</v>
      </c>
      <c r="F123" s="12"/>
    </row>
    <row r="124" spans="1:6" ht="26.4" x14ac:dyDescent="0.3">
      <c r="A124" s="12" t="s">
        <v>4280</v>
      </c>
      <c r="B124" s="12" t="s">
        <v>4278</v>
      </c>
      <c r="C124" s="12" t="s">
        <v>4019</v>
      </c>
      <c r="D124" s="11" t="s">
        <v>37</v>
      </c>
      <c r="E124" s="12" t="s">
        <v>4279</v>
      </c>
      <c r="F124" s="12"/>
    </row>
    <row r="125" spans="1:6" ht="26.4" x14ac:dyDescent="0.3">
      <c r="A125" s="12" t="s">
        <v>4281</v>
      </c>
      <c r="B125" s="12" t="s">
        <v>4282</v>
      </c>
      <c r="C125" s="12" t="s">
        <v>4016</v>
      </c>
      <c r="D125" s="11" t="s">
        <v>37</v>
      </c>
      <c r="E125" s="12" t="s">
        <v>4283</v>
      </c>
      <c r="F125" s="12"/>
    </row>
    <row r="126" spans="1:6" ht="26.4" x14ac:dyDescent="0.3">
      <c r="A126" s="12" t="s">
        <v>4284</v>
      </c>
      <c r="B126" s="12" t="s">
        <v>4282</v>
      </c>
      <c r="C126" s="12" t="s">
        <v>4154</v>
      </c>
      <c r="D126" s="11" t="s">
        <v>37</v>
      </c>
      <c r="E126" s="12" t="s">
        <v>4283</v>
      </c>
      <c r="F126" s="12"/>
    </row>
    <row r="127" spans="1:6" ht="39.6" x14ac:dyDescent="0.3">
      <c r="A127" s="12" t="s">
        <v>4285</v>
      </c>
      <c r="B127" s="12" t="s">
        <v>4286</v>
      </c>
      <c r="C127" s="12" t="s">
        <v>4016</v>
      </c>
      <c r="D127" s="11" t="s">
        <v>37</v>
      </c>
      <c r="E127" s="12" t="s">
        <v>4287</v>
      </c>
      <c r="F127" s="12"/>
    </row>
    <row r="128" spans="1:6" ht="39.6" x14ac:dyDescent="0.3">
      <c r="A128" s="12" t="s">
        <v>4288</v>
      </c>
      <c r="B128" s="12" t="s">
        <v>4286</v>
      </c>
      <c r="C128" s="12" t="s">
        <v>4019</v>
      </c>
      <c r="D128" s="11" t="s">
        <v>37</v>
      </c>
      <c r="E128" s="12" t="s">
        <v>4287</v>
      </c>
      <c r="F128" s="12"/>
    </row>
    <row r="129" spans="1:6" ht="26.4" x14ac:dyDescent="0.3">
      <c r="A129" s="12" t="s">
        <v>4289</v>
      </c>
      <c r="B129" s="12" t="s">
        <v>4286</v>
      </c>
      <c r="C129" s="12" t="s">
        <v>4290</v>
      </c>
      <c r="D129" s="11" t="s">
        <v>37</v>
      </c>
      <c r="E129" s="12" t="s">
        <v>4291</v>
      </c>
      <c r="F129" s="12"/>
    </row>
    <row r="130" spans="1:6" x14ac:dyDescent="0.3">
      <c r="A130" s="12" t="s">
        <v>4292</v>
      </c>
      <c r="B130" s="12" t="s">
        <v>4286</v>
      </c>
      <c r="C130" s="12" t="s">
        <v>4293</v>
      </c>
      <c r="D130" s="11" t="s">
        <v>37</v>
      </c>
      <c r="E130" s="12" t="s">
        <v>1747</v>
      </c>
      <c r="F130" s="12"/>
    </row>
    <row r="131" spans="1:6" ht="26.4" x14ac:dyDescent="0.3">
      <c r="A131" s="12" t="s">
        <v>4294</v>
      </c>
      <c r="B131" s="12" t="s">
        <v>4286</v>
      </c>
      <c r="C131" s="12" t="s">
        <v>4146</v>
      </c>
      <c r="D131" s="11" t="s">
        <v>37</v>
      </c>
      <c r="E131" s="12" t="s">
        <v>4295</v>
      </c>
      <c r="F131" s="12"/>
    </row>
    <row r="132" spans="1:6" x14ac:dyDescent="0.3">
      <c r="A132" s="12" t="s">
        <v>4296</v>
      </c>
      <c r="B132" s="12" t="s">
        <v>4297</v>
      </c>
      <c r="C132" s="12" t="s">
        <v>4009</v>
      </c>
      <c r="D132" s="11" t="s">
        <v>37</v>
      </c>
      <c r="E132" s="12" t="s">
        <v>1770</v>
      </c>
      <c r="F132" s="12"/>
    </row>
    <row r="133" spans="1:6" x14ac:dyDescent="0.3">
      <c r="A133" s="12" t="s">
        <v>4298</v>
      </c>
      <c r="B133" s="12" t="s">
        <v>4299</v>
      </c>
      <c r="C133" s="12" t="s">
        <v>4009</v>
      </c>
      <c r="D133" s="11" t="s">
        <v>37</v>
      </c>
      <c r="E133" s="12" t="s">
        <v>4300</v>
      </c>
      <c r="F133" s="12"/>
    </row>
    <row r="134" spans="1:6" x14ac:dyDescent="0.3">
      <c r="A134" s="12" t="s">
        <v>4301</v>
      </c>
      <c r="B134" s="12" t="s">
        <v>4302</v>
      </c>
      <c r="C134" s="12" t="s">
        <v>4009</v>
      </c>
      <c r="D134" s="11" t="s">
        <v>37</v>
      </c>
      <c r="E134" s="12" t="s">
        <v>1936</v>
      </c>
      <c r="F134" s="12"/>
    </row>
    <row r="135" spans="1:6" x14ac:dyDescent="0.3">
      <c r="A135" s="12" t="s">
        <v>4303</v>
      </c>
      <c r="B135" s="12" t="s">
        <v>4304</v>
      </c>
      <c r="C135" s="12" t="s">
        <v>4009</v>
      </c>
      <c r="D135" s="11" t="s">
        <v>37</v>
      </c>
      <c r="E135" s="12" t="s">
        <v>4305</v>
      </c>
      <c r="F135" s="12"/>
    </row>
    <row r="136" spans="1:6" x14ac:dyDescent="0.3">
      <c r="A136" s="12" t="s">
        <v>4306</v>
      </c>
      <c r="B136" s="12" t="s">
        <v>4307</v>
      </c>
      <c r="C136" s="12" t="s">
        <v>4009</v>
      </c>
      <c r="D136" s="11" t="s">
        <v>37</v>
      </c>
      <c r="E136" s="12" t="s">
        <v>1936</v>
      </c>
      <c r="F136" s="12"/>
    </row>
    <row r="137" spans="1:6" x14ac:dyDescent="0.3">
      <c r="A137" s="12" t="s">
        <v>4308</v>
      </c>
      <c r="B137" s="12" t="s">
        <v>4309</v>
      </c>
      <c r="C137" s="12" t="s">
        <v>4009</v>
      </c>
      <c r="D137" s="11" t="s">
        <v>37</v>
      </c>
      <c r="E137" s="12" t="s">
        <v>1765</v>
      </c>
      <c r="F137" s="12"/>
    </row>
    <row r="138" spans="1:6" x14ac:dyDescent="0.3">
      <c r="A138" s="12" t="s">
        <v>4310</v>
      </c>
      <c r="B138" s="12" t="s">
        <v>4311</v>
      </c>
      <c r="C138" s="12" t="s">
        <v>4009</v>
      </c>
      <c r="D138" s="11" t="s">
        <v>37</v>
      </c>
      <c r="E138" s="12" t="s">
        <v>4312</v>
      </c>
      <c r="F138" s="12"/>
    </row>
    <row r="139" spans="1:6" x14ac:dyDescent="0.3">
      <c r="A139" s="12" t="s">
        <v>4313</v>
      </c>
      <c r="B139" s="12" t="s">
        <v>4314</v>
      </c>
      <c r="C139" s="12" t="s">
        <v>4009</v>
      </c>
      <c r="D139" s="11" t="s">
        <v>37</v>
      </c>
      <c r="E139" s="12" t="s">
        <v>4315</v>
      </c>
      <c r="F139" s="12"/>
    </row>
    <row r="140" spans="1:6" ht="26.4" x14ac:dyDescent="0.3">
      <c r="A140" s="12" t="s">
        <v>4316</v>
      </c>
      <c r="B140" s="12" t="s">
        <v>4317</v>
      </c>
      <c r="C140" s="12" t="s">
        <v>4009</v>
      </c>
      <c r="D140" s="11" t="s">
        <v>37</v>
      </c>
      <c r="E140" s="12" t="s">
        <v>4318</v>
      </c>
      <c r="F140" s="12"/>
    </row>
    <row r="141" spans="1:6" x14ac:dyDescent="0.3">
      <c r="A141" s="12" t="s">
        <v>4319</v>
      </c>
      <c r="B141" s="12" t="s">
        <v>4320</v>
      </c>
      <c r="C141" s="12" t="s">
        <v>4009</v>
      </c>
      <c r="D141" s="11" t="s">
        <v>37</v>
      </c>
      <c r="E141" s="12" t="s">
        <v>4321</v>
      </c>
      <c r="F141" s="12"/>
    </row>
    <row r="142" spans="1:6" x14ac:dyDescent="0.3">
      <c r="A142" s="12" t="s">
        <v>4322</v>
      </c>
      <c r="B142" s="12" t="s">
        <v>4323</v>
      </c>
      <c r="C142" s="12" t="s">
        <v>4009</v>
      </c>
      <c r="D142" s="11" t="s">
        <v>37</v>
      </c>
      <c r="E142" s="12" t="s">
        <v>4321</v>
      </c>
      <c r="F142" s="12"/>
    </row>
    <row r="143" spans="1:6" x14ac:dyDescent="0.3">
      <c r="A143" s="12" t="s">
        <v>4324</v>
      </c>
      <c r="B143" s="12" t="s">
        <v>4325</v>
      </c>
      <c r="C143" s="12" t="s">
        <v>4009</v>
      </c>
      <c r="D143" s="11" t="s">
        <v>4010</v>
      </c>
      <c r="E143" s="12"/>
      <c r="F143" s="12" t="s">
        <v>4326</v>
      </c>
    </row>
    <row r="144" spans="1:6" x14ac:dyDescent="0.3">
      <c r="A144" s="12" t="s">
        <v>4327</v>
      </c>
      <c r="B144" s="12" t="s">
        <v>4328</v>
      </c>
      <c r="C144" s="12" t="s">
        <v>4009</v>
      </c>
      <c r="D144" s="11" t="s">
        <v>37</v>
      </c>
      <c r="E144" s="12" t="s">
        <v>3711</v>
      </c>
      <c r="F144" s="12"/>
    </row>
    <row r="145" spans="1:6" x14ac:dyDescent="0.3">
      <c r="A145" s="12" t="s">
        <v>4329</v>
      </c>
      <c r="B145" s="12" t="s">
        <v>4328</v>
      </c>
      <c r="C145" s="12" t="s">
        <v>4009</v>
      </c>
      <c r="D145" s="11" t="s">
        <v>4010</v>
      </c>
      <c r="E145" s="12"/>
      <c r="F145" s="12" t="s">
        <v>4326</v>
      </c>
    </row>
    <row r="146" spans="1:6" x14ac:dyDescent="0.3">
      <c r="A146" s="12" t="s">
        <v>4330</v>
      </c>
      <c r="B146" s="12" t="s">
        <v>4331</v>
      </c>
      <c r="C146" s="12" t="s">
        <v>4009</v>
      </c>
      <c r="D146" s="11" t="s">
        <v>4010</v>
      </c>
      <c r="E146" s="12"/>
      <c r="F146" s="12" t="s">
        <v>4326</v>
      </c>
    </row>
    <row r="147" spans="1:6" x14ac:dyDescent="0.3">
      <c r="A147" s="12" t="s">
        <v>4332</v>
      </c>
      <c r="B147" s="12" t="s">
        <v>4331</v>
      </c>
      <c r="C147" s="12" t="s">
        <v>4009</v>
      </c>
      <c r="D147" s="11" t="s">
        <v>4010</v>
      </c>
      <c r="E147" s="12"/>
      <c r="F147" s="12" t="s">
        <v>4326</v>
      </c>
    </row>
    <row r="148" spans="1:6" x14ac:dyDescent="0.3">
      <c r="A148" s="12" t="s">
        <v>4333</v>
      </c>
      <c r="B148" s="12" t="s">
        <v>4334</v>
      </c>
      <c r="C148" s="12" t="s">
        <v>4009</v>
      </c>
      <c r="D148" s="11" t="s">
        <v>4010</v>
      </c>
      <c r="E148" s="12"/>
      <c r="F148" s="12" t="s">
        <v>4326</v>
      </c>
    </row>
    <row r="149" spans="1:6" x14ac:dyDescent="0.3">
      <c r="A149" s="12" t="s">
        <v>4335</v>
      </c>
      <c r="B149" s="12" t="s">
        <v>4013</v>
      </c>
      <c r="C149" s="12" t="s">
        <v>4009</v>
      </c>
      <c r="D149" s="11" t="s">
        <v>4010</v>
      </c>
      <c r="E149" s="12"/>
      <c r="F149" s="12" t="s">
        <v>4149</v>
      </c>
    </row>
    <row r="150" spans="1:6" x14ac:dyDescent="0.3">
      <c r="A150" s="12" t="s">
        <v>4336</v>
      </c>
      <c r="B150" s="12" t="s">
        <v>4337</v>
      </c>
      <c r="C150" s="12" t="s">
        <v>4016</v>
      </c>
      <c r="D150" s="11" t="s">
        <v>37</v>
      </c>
      <c r="E150" s="12" t="s">
        <v>4338</v>
      </c>
      <c r="F150" s="12"/>
    </row>
    <row r="151" spans="1:6" ht="26.4" x14ac:dyDescent="0.3">
      <c r="A151" s="12" t="s">
        <v>4339</v>
      </c>
      <c r="B151" s="12" t="s">
        <v>4337</v>
      </c>
      <c r="C151" s="12" t="s">
        <v>4019</v>
      </c>
      <c r="D151" s="11" t="s">
        <v>37</v>
      </c>
      <c r="E151" s="12" t="s">
        <v>4338</v>
      </c>
      <c r="F151" s="12"/>
    </row>
    <row r="152" spans="1:6" x14ac:dyDescent="0.3">
      <c r="A152" s="12" t="s">
        <v>4340</v>
      </c>
      <c r="B152" s="12" t="s">
        <v>4341</v>
      </c>
      <c r="C152" s="12" t="s">
        <v>4016</v>
      </c>
      <c r="D152" s="11" t="s">
        <v>37</v>
      </c>
      <c r="E152" s="12" t="s">
        <v>3226</v>
      </c>
      <c r="F152" s="12"/>
    </row>
    <row r="153" spans="1:6" ht="26.4" x14ac:dyDescent="0.3">
      <c r="A153" s="12" t="s">
        <v>4342</v>
      </c>
      <c r="B153" s="12" t="s">
        <v>4341</v>
      </c>
      <c r="C153" s="12" t="s">
        <v>4019</v>
      </c>
      <c r="D153" s="11" t="s">
        <v>37</v>
      </c>
      <c r="E153" s="12" t="s">
        <v>3226</v>
      </c>
      <c r="F153" s="12"/>
    </row>
    <row r="154" spans="1:6" ht="26.4" x14ac:dyDescent="0.3">
      <c r="A154" s="12" t="s">
        <v>4343</v>
      </c>
      <c r="B154" s="12" t="s">
        <v>4344</v>
      </c>
      <c r="C154" s="12" t="s">
        <v>4009</v>
      </c>
      <c r="D154" s="11" t="s">
        <v>37</v>
      </c>
      <c r="E154" s="12" t="s">
        <v>4345</v>
      </c>
      <c r="F154" s="12"/>
    </row>
    <row r="155" spans="1:6" x14ac:dyDescent="0.3">
      <c r="A155" s="12" t="s">
        <v>4346</v>
      </c>
      <c r="B155" s="12" t="s">
        <v>4347</v>
      </c>
      <c r="C155" s="12" t="s">
        <v>4009</v>
      </c>
      <c r="D155" s="11" t="s">
        <v>37</v>
      </c>
      <c r="E155" s="12" t="s">
        <v>3220</v>
      </c>
      <c r="F155" s="12"/>
    </row>
    <row r="156" spans="1:6" x14ac:dyDescent="0.3">
      <c r="A156" s="12" t="s">
        <v>4348</v>
      </c>
      <c r="B156" s="12" t="s">
        <v>4013</v>
      </c>
      <c r="C156" s="12" t="s">
        <v>4009</v>
      </c>
      <c r="D156" s="11" t="s">
        <v>4010</v>
      </c>
      <c r="E156" s="12"/>
      <c r="F156" s="12" t="s">
        <v>4149</v>
      </c>
    </row>
    <row r="157" spans="1:6" x14ac:dyDescent="0.3">
      <c r="A157" s="12" t="s">
        <v>4349</v>
      </c>
      <c r="B157" s="12" t="s">
        <v>4350</v>
      </c>
      <c r="C157" s="12" t="s">
        <v>4016</v>
      </c>
      <c r="D157" s="11" t="s">
        <v>37</v>
      </c>
      <c r="E157" s="12" t="s">
        <v>2987</v>
      </c>
      <c r="F157" s="12"/>
    </row>
    <row r="158" spans="1:6" ht="26.4" x14ac:dyDescent="0.3">
      <c r="A158" s="12" t="s">
        <v>4351</v>
      </c>
      <c r="B158" s="12" t="s">
        <v>4350</v>
      </c>
      <c r="C158" s="12" t="s">
        <v>4019</v>
      </c>
      <c r="D158" s="11" t="s">
        <v>37</v>
      </c>
      <c r="E158" s="12" t="s">
        <v>2987</v>
      </c>
      <c r="F158" s="12"/>
    </row>
    <row r="159" spans="1:6" x14ac:dyDescent="0.3">
      <c r="A159" s="12" t="s">
        <v>4352</v>
      </c>
      <c r="B159" s="12" t="s">
        <v>4353</v>
      </c>
      <c r="C159" s="12" t="s">
        <v>4016</v>
      </c>
      <c r="D159" s="11" t="s">
        <v>37</v>
      </c>
      <c r="E159" s="12" t="s">
        <v>4354</v>
      </c>
      <c r="F159" s="12"/>
    </row>
    <row r="160" spans="1:6" ht="26.4" x14ac:dyDescent="0.3">
      <c r="A160" s="12" t="s">
        <v>4355</v>
      </c>
      <c r="B160" s="12" t="s">
        <v>4353</v>
      </c>
      <c r="C160" s="12" t="s">
        <v>4019</v>
      </c>
      <c r="D160" s="11" t="s">
        <v>37</v>
      </c>
      <c r="E160" s="12" t="s">
        <v>4354</v>
      </c>
      <c r="F160" s="12"/>
    </row>
    <row r="161" spans="1:6" x14ac:dyDescent="0.3">
      <c r="A161" s="12" t="s">
        <v>4356</v>
      </c>
      <c r="B161" s="12" t="s">
        <v>4353</v>
      </c>
      <c r="C161" s="12" t="s">
        <v>4357</v>
      </c>
      <c r="D161" s="11" t="s">
        <v>37</v>
      </c>
      <c r="E161" s="12" t="s">
        <v>2987</v>
      </c>
      <c r="F161" s="12"/>
    </row>
    <row r="162" spans="1:6" x14ac:dyDescent="0.3">
      <c r="A162" s="12" t="s">
        <v>4358</v>
      </c>
      <c r="B162" s="12" t="s">
        <v>4353</v>
      </c>
      <c r="C162" s="12" t="s">
        <v>4359</v>
      </c>
      <c r="D162" s="11" t="s">
        <v>37</v>
      </c>
      <c r="E162" s="12" t="s">
        <v>2982</v>
      </c>
      <c r="F162" s="12"/>
    </row>
    <row r="163" spans="1:6" x14ac:dyDescent="0.3">
      <c r="A163" s="12" t="s">
        <v>4360</v>
      </c>
      <c r="B163" s="12" t="s">
        <v>4361</v>
      </c>
      <c r="C163" s="12" t="s">
        <v>4152</v>
      </c>
      <c r="D163" s="11" t="s">
        <v>37</v>
      </c>
      <c r="E163" s="12" t="s">
        <v>4362</v>
      </c>
      <c r="F163" s="12"/>
    </row>
    <row r="164" spans="1:6" x14ac:dyDescent="0.3">
      <c r="A164" s="12" t="s">
        <v>4363</v>
      </c>
      <c r="B164" s="12" t="s">
        <v>4361</v>
      </c>
      <c r="C164" s="12" t="s">
        <v>4154</v>
      </c>
      <c r="D164" s="11" t="s">
        <v>37</v>
      </c>
      <c r="E164" s="12" t="s">
        <v>4362</v>
      </c>
      <c r="F164" s="12"/>
    </row>
    <row r="165" spans="1:6" x14ac:dyDescent="0.3">
      <c r="A165" s="12" t="s">
        <v>4364</v>
      </c>
      <c r="B165" s="12" t="s">
        <v>4361</v>
      </c>
      <c r="C165" s="12" t="s">
        <v>4365</v>
      </c>
      <c r="D165" s="11" t="s">
        <v>37</v>
      </c>
      <c r="E165" s="12" t="s">
        <v>2934</v>
      </c>
      <c r="F165" s="12"/>
    </row>
    <row r="166" spans="1:6" x14ac:dyDescent="0.3">
      <c r="A166" s="12" t="s">
        <v>4366</v>
      </c>
      <c r="B166" s="12" t="s">
        <v>4361</v>
      </c>
      <c r="C166" s="12" t="s">
        <v>4367</v>
      </c>
      <c r="D166" s="11" t="s">
        <v>37</v>
      </c>
      <c r="E166" s="12" t="s">
        <v>2918</v>
      </c>
      <c r="F166" s="12"/>
    </row>
    <row r="167" spans="1:6" x14ac:dyDescent="0.3">
      <c r="A167" s="12" t="s">
        <v>4368</v>
      </c>
      <c r="B167" s="12" t="s">
        <v>4369</v>
      </c>
      <c r="C167" s="12" t="s">
        <v>4152</v>
      </c>
      <c r="D167" s="11" t="s">
        <v>4010</v>
      </c>
      <c r="E167" s="12"/>
      <c r="F167" s="12" t="s">
        <v>4122</v>
      </c>
    </row>
    <row r="168" spans="1:6" x14ac:dyDescent="0.3">
      <c r="A168" s="12" t="s">
        <v>4370</v>
      </c>
      <c r="B168" s="12" t="s">
        <v>4369</v>
      </c>
      <c r="C168" s="12" t="s">
        <v>4154</v>
      </c>
      <c r="D168" s="11" t="s">
        <v>4010</v>
      </c>
      <c r="E168" s="12"/>
      <c r="F168" s="12" t="s">
        <v>4122</v>
      </c>
    </row>
    <row r="169" spans="1:6" x14ac:dyDescent="0.3">
      <c r="A169" s="12" t="s">
        <v>4371</v>
      </c>
      <c r="B169" s="12" t="s">
        <v>4372</v>
      </c>
      <c r="C169" s="12" t="s">
        <v>4016</v>
      </c>
      <c r="D169" s="11" t="s">
        <v>37</v>
      </c>
      <c r="E169" s="12" t="s">
        <v>3087</v>
      </c>
      <c r="F169" s="12"/>
    </row>
    <row r="170" spans="1:6" ht="26.4" x14ac:dyDescent="0.3">
      <c r="A170" s="12" t="s">
        <v>4373</v>
      </c>
      <c r="B170" s="12" t="s">
        <v>4372</v>
      </c>
      <c r="C170" s="12" t="s">
        <v>4019</v>
      </c>
      <c r="D170" s="11" t="s">
        <v>37</v>
      </c>
      <c r="E170" s="12" t="s">
        <v>3087</v>
      </c>
      <c r="F170" s="12"/>
    </row>
    <row r="171" spans="1:6" ht="26.4" x14ac:dyDescent="0.3">
      <c r="A171" s="12" t="s">
        <v>4374</v>
      </c>
      <c r="B171" s="12" t="s">
        <v>4372</v>
      </c>
      <c r="C171" s="12" t="s">
        <v>4375</v>
      </c>
      <c r="D171" s="11" t="s">
        <v>4010</v>
      </c>
      <c r="E171" s="12"/>
      <c r="F171" s="12" t="s">
        <v>4122</v>
      </c>
    </row>
    <row r="172" spans="1:6" ht="26.4" x14ac:dyDescent="0.3">
      <c r="A172" s="12" t="s">
        <v>4376</v>
      </c>
      <c r="B172" s="12" t="s">
        <v>4372</v>
      </c>
      <c r="C172" s="12" t="s">
        <v>4377</v>
      </c>
      <c r="D172" s="11" t="s">
        <v>4010</v>
      </c>
      <c r="E172" s="12"/>
      <c r="F172" s="12" t="s">
        <v>4122</v>
      </c>
    </row>
    <row r="173" spans="1:6" ht="26.4" x14ac:dyDescent="0.3">
      <c r="A173" s="12" t="s">
        <v>4378</v>
      </c>
      <c r="B173" s="12" t="s">
        <v>4372</v>
      </c>
      <c r="C173" s="12" t="s">
        <v>4379</v>
      </c>
      <c r="D173" s="11" t="s">
        <v>4010</v>
      </c>
      <c r="E173" s="12"/>
      <c r="F173" s="12" t="s">
        <v>4122</v>
      </c>
    </row>
    <row r="174" spans="1:6" x14ac:dyDescent="0.3">
      <c r="A174" s="12" t="s">
        <v>4380</v>
      </c>
      <c r="B174" s="12" t="s">
        <v>4372</v>
      </c>
      <c r="C174" s="12" t="s">
        <v>4381</v>
      </c>
      <c r="D174" s="11" t="s">
        <v>4010</v>
      </c>
      <c r="E174" s="12"/>
      <c r="F174" s="12" t="s">
        <v>4122</v>
      </c>
    </row>
    <row r="175" spans="1:6" ht="39.6" x14ac:dyDescent="0.3">
      <c r="A175" s="12" t="s">
        <v>4382</v>
      </c>
      <c r="B175" s="12" t="s">
        <v>4383</v>
      </c>
      <c r="C175" s="12" t="s">
        <v>4016</v>
      </c>
      <c r="D175" s="11" t="s">
        <v>37</v>
      </c>
      <c r="E175" s="12" t="s">
        <v>4384</v>
      </c>
      <c r="F175" s="12"/>
    </row>
    <row r="176" spans="1:6" ht="39.6" x14ac:dyDescent="0.3">
      <c r="A176" s="12" t="s">
        <v>4385</v>
      </c>
      <c r="B176" s="12" t="s">
        <v>4383</v>
      </c>
      <c r="C176" s="12" t="s">
        <v>4019</v>
      </c>
      <c r="D176" s="11" t="s">
        <v>37</v>
      </c>
      <c r="E176" s="12" t="s">
        <v>4384</v>
      </c>
      <c r="F176" s="12"/>
    </row>
    <row r="177" spans="1:6" x14ac:dyDescent="0.3">
      <c r="A177" s="12" t="s">
        <v>4386</v>
      </c>
      <c r="B177" s="12" t="s">
        <v>4383</v>
      </c>
      <c r="C177" s="12" t="s">
        <v>4387</v>
      </c>
      <c r="D177" s="11" t="s">
        <v>37</v>
      </c>
      <c r="E177" s="12" t="s">
        <v>2852</v>
      </c>
      <c r="F177" s="12"/>
    </row>
    <row r="178" spans="1:6" x14ac:dyDescent="0.3">
      <c r="A178" s="12" t="s">
        <v>4388</v>
      </c>
      <c r="B178" s="12" t="s">
        <v>4383</v>
      </c>
      <c r="C178" s="12" t="s">
        <v>4389</v>
      </c>
      <c r="D178" s="11" t="s">
        <v>4010</v>
      </c>
      <c r="E178" s="12"/>
      <c r="F178" s="12" t="s">
        <v>4122</v>
      </c>
    </row>
    <row r="179" spans="1:6" x14ac:dyDescent="0.3">
      <c r="A179" s="12" t="s">
        <v>4390</v>
      </c>
      <c r="B179" s="12" t="s">
        <v>4383</v>
      </c>
      <c r="C179" s="12" t="s">
        <v>4391</v>
      </c>
      <c r="D179" s="11" t="s">
        <v>4010</v>
      </c>
      <c r="E179" s="12"/>
      <c r="F179" s="12" t="s">
        <v>4122</v>
      </c>
    </row>
    <row r="180" spans="1:6" x14ac:dyDescent="0.3">
      <c r="A180" s="12" t="s">
        <v>4392</v>
      </c>
      <c r="B180" s="12" t="s">
        <v>4383</v>
      </c>
      <c r="C180" s="12" t="s">
        <v>4375</v>
      </c>
      <c r="D180" s="11" t="s">
        <v>4010</v>
      </c>
      <c r="E180" s="12"/>
      <c r="F180" s="12" t="s">
        <v>4122</v>
      </c>
    </row>
    <row r="181" spans="1:6" x14ac:dyDescent="0.3">
      <c r="A181" s="12" t="s">
        <v>4393</v>
      </c>
      <c r="B181" s="12" t="s">
        <v>4383</v>
      </c>
      <c r="C181" s="12" t="s">
        <v>4394</v>
      </c>
      <c r="D181" s="11" t="s">
        <v>37</v>
      </c>
      <c r="E181" s="12" t="s">
        <v>2872</v>
      </c>
      <c r="F181" s="12"/>
    </row>
    <row r="182" spans="1:6" x14ac:dyDescent="0.3">
      <c r="A182" s="12" t="s">
        <v>4395</v>
      </c>
      <c r="B182" s="12" t="s">
        <v>4383</v>
      </c>
      <c r="C182" s="12" t="s">
        <v>4396</v>
      </c>
      <c r="D182" s="11" t="s">
        <v>4010</v>
      </c>
      <c r="E182" s="12"/>
      <c r="F182" s="12" t="s">
        <v>4122</v>
      </c>
    </row>
    <row r="183" spans="1:6" x14ac:dyDescent="0.3">
      <c r="A183" s="12" t="s">
        <v>4397</v>
      </c>
      <c r="B183" s="12" t="s">
        <v>4383</v>
      </c>
      <c r="C183" s="12" t="s">
        <v>4398</v>
      </c>
      <c r="D183" s="11" t="s">
        <v>37</v>
      </c>
      <c r="E183" s="12" t="s">
        <v>4399</v>
      </c>
      <c r="F183" s="12"/>
    </row>
    <row r="184" spans="1:6" x14ac:dyDescent="0.3">
      <c r="A184" s="12" t="s">
        <v>4400</v>
      </c>
      <c r="B184" s="12" t="s">
        <v>4383</v>
      </c>
      <c r="C184" s="12" t="s">
        <v>4377</v>
      </c>
      <c r="D184" s="11" t="s">
        <v>37</v>
      </c>
      <c r="E184" s="12" t="s">
        <v>2827</v>
      </c>
      <c r="F184" s="12"/>
    </row>
    <row r="185" spans="1:6" x14ac:dyDescent="0.3">
      <c r="A185" s="12" t="s">
        <v>4401</v>
      </c>
      <c r="B185" s="12" t="s">
        <v>4383</v>
      </c>
      <c r="C185" s="12" t="s">
        <v>4402</v>
      </c>
      <c r="D185" s="11" t="s">
        <v>4010</v>
      </c>
      <c r="E185" s="12"/>
      <c r="F185" s="12" t="s">
        <v>4122</v>
      </c>
    </row>
    <row r="186" spans="1:6" x14ac:dyDescent="0.3">
      <c r="A186" s="12" t="s">
        <v>4403</v>
      </c>
      <c r="B186" s="12" t="s">
        <v>4383</v>
      </c>
      <c r="C186" s="12" t="s">
        <v>4404</v>
      </c>
      <c r="D186" s="11" t="s">
        <v>4010</v>
      </c>
      <c r="E186" s="12"/>
      <c r="F186" s="12" t="s">
        <v>4122</v>
      </c>
    </row>
    <row r="187" spans="1:6" x14ac:dyDescent="0.3">
      <c r="A187" s="12" t="s">
        <v>4405</v>
      </c>
      <c r="B187" s="12" t="s">
        <v>4383</v>
      </c>
      <c r="C187" s="12" t="s">
        <v>4406</v>
      </c>
      <c r="D187" s="11" t="s">
        <v>4010</v>
      </c>
      <c r="E187" s="12"/>
      <c r="F187" s="12" t="s">
        <v>4122</v>
      </c>
    </row>
    <row r="188" spans="1:6" x14ac:dyDescent="0.3">
      <c r="A188" s="12" t="s">
        <v>4407</v>
      </c>
      <c r="B188" s="12" t="s">
        <v>4383</v>
      </c>
      <c r="C188" s="12" t="s">
        <v>4408</v>
      </c>
      <c r="D188" s="11" t="s">
        <v>4010</v>
      </c>
      <c r="E188" s="12"/>
      <c r="F188" s="12" t="s">
        <v>4122</v>
      </c>
    </row>
    <row r="189" spans="1:6" x14ac:dyDescent="0.3">
      <c r="A189" s="12" t="s">
        <v>4409</v>
      </c>
      <c r="B189" s="12" t="s">
        <v>4383</v>
      </c>
      <c r="C189" s="12" t="s">
        <v>4410</v>
      </c>
      <c r="D189" s="11" t="s">
        <v>37</v>
      </c>
      <c r="E189" s="12" t="s">
        <v>2894</v>
      </c>
      <c r="F189" s="12"/>
    </row>
    <row r="190" spans="1:6" x14ac:dyDescent="0.3">
      <c r="A190" s="12" t="s">
        <v>4411</v>
      </c>
      <c r="B190" s="12" t="s">
        <v>4383</v>
      </c>
      <c r="C190" s="12" t="s">
        <v>4412</v>
      </c>
      <c r="D190" s="11" t="s">
        <v>4010</v>
      </c>
      <c r="E190" s="12"/>
      <c r="F190" s="12" t="s">
        <v>4122</v>
      </c>
    </row>
    <row r="191" spans="1:6" x14ac:dyDescent="0.3">
      <c r="A191" s="12" t="s">
        <v>4413</v>
      </c>
      <c r="B191" s="12" t="s">
        <v>4383</v>
      </c>
      <c r="C191" s="12" t="s">
        <v>4414</v>
      </c>
      <c r="D191" s="11" t="s">
        <v>37</v>
      </c>
      <c r="E191" s="12" t="s">
        <v>2955</v>
      </c>
      <c r="F191" s="12"/>
    </row>
    <row r="192" spans="1:6" x14ac:dyDescent="0.3">
      <c r="A192" s="12" t="s">
        <v>4415</v>
      </c>
      <c r="B192" s="12" t="s">
        <v>4383</v>
      </c>
      <c r="C192" s="12" t="s">
        <v>4416</v>
      </c>
      <c r="D192" s="11" t="s">
        <v>4010</v>
      </c>
      <c r="E192" s="12"/>
      <c r="F192" s="12" t="s">
        <v>4122</v>
      </c>
    </row>
    <row r="193" spans="1:6" x14ac:dyDescent="0.3">
      <c r="A193" s="12" t="s">
        <v>4417</v>
      </c>
      <c r="B193" s="12" t="s">
        <v>4383</v>
      </c>
      <c r="C193" s="12" t="s">
        <v>4418</v>
      </c>
      <c r="D193" s="11" t="s">
        <v>37</v>
      </c>
      <c r="E193" s="12" t="s">
        <v>2766</v>
      </c>
      <c r="F193" s="12"/>
    </row>
    <row r="194" spans="1:6" ht="26.4" x14ac:dyDescent="0.3">
      <c r="A194" s="12" t="s">
        <v>4419</v>
      </c>
      <c r="B194" s="12" t="s">
        <v>4383</v>
      </c>
      <c r="C194" s="12" t="s">
        <v>4420</v>
      </c>
      <c r="D194" s="11" t="s">
        <v>37</v>
      </c>
      <c r="E194" s="12" t="s">
        <v>4421</v>
      </c>
      <c r="F194" s="12"/>
    </row>
    <row r="195" spans="1:6" x14ac:dyDescent="0.3">
      <c r="A195" s="12" t="s">
        <v>4422</v>
      </c>
      <c r="B195" s="12" t="s">
        <v>4383</v>
      </c>
      <c r="C195" s="12" t="s">
        <v>4423</v>
      </c>
      <c r="D195" s="11" t="s">
        <v>37</v>
      </c>
      <c r="E195" s="12" t="s">
        <v>2904</v>
      </c>
      <c r="F195" s="12"/>
    </row>
    <row r="196" spans="1:6" x14ac:dyDescent="0.3">
      <c r="A196" s="12" t="s">
        <v>4424</v>
      </c>
      <c r="B196" s="12" t="s">
        <v>4383</v>
      </c>
      <c r="C196" s="12" t="s">
        <v>4425</v>
      </c>
      <c r="D196" s="11" t="s">
        <v>37</v>
      </c>
      <c r="E196" s="12" t="s">
        <v>2899</v>
      </c>
      <c r="F196" s="12"/>
    </row>
    <row r="197" spans="1:6" x14ac:dyDescent="0.3">
      <c r="A197" s="12" t="s">
        <v>4426</v>
      </c>
      <c r="B197" s="12" t="s">
        <v>4427</v>
      </c>
      <c r="C197" s="12" t="s">
        <v>4152</v>
      </c>
      <c r="D197" s="11" t="s">
        <v>37</v>
      </c>
      <c r="E197" s="12" t="s">
        <v>2960</v>
      </c>
      <c r="F197" s="12"/>
    </row>
    <row r="198" spans="1:6" x14ac:dyDescent="0.3">
      <c r="A198" s="12" t="s">
        <v>4428</v>
      </c>
      <c r="B198" s="12" t="s">
        <v>4427</v>
      </c>
      <c r="C198" s="12" t="s">
        <v>4154</v>
      </c>
      <c r="D198" s="11" t="s">
        <v>37</v>
      </c>
      <c r="E198" s="12" t="s">
        <v>2960</v>
      </c>
      <c r="F198" s="12"/>
    </row>
    <row r="199" spans="1:6" x14ac:dyDescent="0.3">
      <c r="A199" s="12" t="s">
        <v>4429</v>
      </c>
      <c r="B199" s="12" t="s">
        <v>4430</v>
      </c>
      <c r="C199" s="12" t="s">
        <v>4016</v>
      </c>
      <c r="D199" s="11" t="s">
        <v>37</v>
      </c>
      <c r="E199" s="12" t="s">
        <v>4431</v>
      </c>
      <c r="F199" s="12"/>
    </row>
    <row r="200" spans="1:6" ht="26.4" x14ac:dyDescent="0.3">
      <c r="A200" s="12" t="s">
        <v>4432</v>
      </c>
      <c r="B200" s="12" t="s">
        <v>4430</v>
      </c>
      <c r="C200" s="12" t="s">
        <v>4019</v>
      </c>
      <c r="D200" s="11" t="s">
        <v>37</v>
      </c>
      <c r="E200" s="12" t="s">
        <v>4431</v>
      </c>
      <c r="F200" s="12"/>
    </row>
    <row r="201" spans="1:6" x14ac:dyDescent="0.3">
      <c r="A201" s="12" t="s">
        <v>4433</v>
      </c>
      <c r="B201" s="12" t="s">
        <v>4430</v>
      </c>
      <c r="C201" s="12" t="s">
        <v>4434</v>
      </c>
      <c r="D201" s="11" t="s">
        <v>37</v>
      </c>
      <c r="E201" s="12" t="s">
        <v>2939</v>
      </c>
      <c r="F201" s="12"/>
    </row>
    <row r="202" spans="1:6" x14ac:dyDescent="0.3">
      <c r="A202" s="12" t="s">
        <v>4435</v>
      </c>
      <c r="B202" s="12" t="s">
        <v>4436</v>
      </c>
      <c r="C202" s="12" t="s">
        <v>4152</v>
      </c>
      <c r="D202" s="11" t="s">
        <v>37</v>
      </c>
      <c r="E202" s="12" t="s">
        <v>3082</v>
      </c>
      <c r="F202" s="12"/>
    </row>
    <row r="203" spans="1:6" x14ac:dyDescent="0.3">
      <c r="A203" s="12" t="s">
        <v>4437</v>
      </c>
      <c r="B203" s="12" t="s">
        <v>4436</v>
      </c>
      <c r="C203" s="12" t="s">
        <v>4154</v>
      </c>
      <c r="D203" s="11" t="s">
        <v>37</v>
      </c>
      <c r="E203" s="12" t="s">
        <v>3082</v>
      </c>
      <c r="F203" s="12"/>
    </row>
    <row r="204" spans="1:6" x14ac:dyDescent="0.3">
      <c r="A204" s="12" t="s">
        <v>4438</v>
      </c>
      <c r="B204" s="12" t="s">
        <v>4436</v>
      </c>
      <c r="C204" s="12" t="s">
        <v>4439</v>
      </c>
      <c r="D204" s="11" t="s">
        <v>4010</v>
      </c>
      <c r="E204" s="12"/>
      <c r="F204" s="12" t="s">
        <v>4122</v>
      </c>
    </row>
    <row r="205" spans="1:6" x14ac:dyDescent="0.3">
      <c r="A205" s="12" t="s">
        <v>4440</v>
      </c>
      <c r="B205" s="12" t="s">
        <v>4436</v>
      </c>
      <c r="C205" s="12" t="s">
        <v>4164</v>
      </c>
      <c r="D205" s="11" t="s">
        <v>4010</v>
      </c>
      <c r="E205" s="12"/>
      <c r="F205" s="12" t="s">
        <v>4122</v>
      </c>
    </row>
    <row r="206" spans="1:6" x14ac:dyDescent="0.3">
      <c r="A206" s="12" t="s">
        <v>4441</v>
      </c>
      <c r="B206" s="12" t="s">
        <v>4436</v>
      </c>
      <c r="C206" s="12" t="s">
        <v>4442</v>
      </c>
      <c r="D206" s="11" t="s">
        <v>4010</v>
      </c>
      <c r="E206" s="12"/>
      <c r="F206" s="12" t="s">
        <v>4122</v>
      </c>
    </row>
    <row r="207" spans="1:6" x14ac:dyDescent="0.3">
      <c r="A207" s="12" t="s">
        <v>4443</v>
      </c>
      <c r="B207" s="12" t="s">
        <v>4436</v>
      </c>
      <c r="C207" s="12" t="s">
        <v>4389</v>
      </c>
      <c r="D207" s="11" t="s">
        <v>37</v>
      </c>
      <c r="E207" s="12" t="s">
        <v>4444</v>
      </c>
      <c r="F207" s="12"/>
    </row>
    <row r="208" spans="1:6" ht="26.4" x14ac:dyDescent="0.3">
      <c r="A208" s="12" t="s">
        <v>4445</v>
      </c>
      <c r="B208" s="12" t="s">
        <v>4436</v>
      </c>
      <c r="C208" s="12" t="s">
        <v>4446</v>
      </c>
      <c r="D208" s="11" t="s">
        <v>4010</v>
      </c>
      <c r="E208" s="12"/>
      <c r="F208" s="12" t="s">
        <v>4122</v>
      </c>
    </row>
    <row r="209" spans="1:6" x14ac:dyDescent="0.3">
      <c r="A209" s="12" t="s">
        <v>4447</v>
      </c>
      <c r="B209" s="12" t="s">
        <v>4436</v>
      </c>
      <c r="C209" s="12" t="s">
        <v>4448</v>
      </c>
      <c r="D209" s="11" t="s">
        <v>37</v>
      </c>
      <c r="E209" s="12" t="s">
        <v>4449</v>
      </c>
      <c r="F209" s="12"/>
    </row>
    <row r="210" spans="1:6" x14ac:dyDescent="0.3">
      <c r="A210" s="12" t="s">
        <v>4450</v>
      </c>
      <c r="B210" s="12" t="s">
        <v>4436</v>
      </c>
      <c r="C210" s="12" t="s">
        <v>4451</v>
      </c>
      <c r="D210" s="11" t="s">
        <v>37</v>
      </c>
      <c r="E210" s="12" t="s">
        <v>4452</v>
      </c>
      <c r="F210" s="12"/>
    </row>
    <row r="211" spans="1:6" x14ac:dyDescent="0.3">
      <c r="A211" s="12" t="s">
        <v>4453</v>
      </c>
      <c r="B211" s="12" t="s">
        <v>4436</v>
      </c>
      <c r="C211" s="12" t="s">
        <v>4454</v>
      </c>
      <c r="D211" s="11" t="s">
        <v>4010</v>
      </c>
      <c r="E211" s="12"/>
      <c r="F211" s="12" t="s">
        <v>4122</v>
      </c>
    </row>
    <row r="212" spans="1:6" ht="26.4" x14ac:dyDescent="0.3">
      <c r="A212" s="12" t="s">
        <v>4455</v>
      </c>
      <c r="B212" s="12" t="s">
        <v>4436</v>
      </c>
      <c r="C212" s="12" t="s">
        <v>4456</v>
      </c>
      <c r="D212" s="11" t="s">
        <v>4010</v>
      </c>
      <c r="E212" s="12"/>
      <c r="F212" s="12" t="s">
        <v>4122</v>
      </c>
    </row>
    <row r="213" spans="1:6" x14ac:dyDescent="0.3">
      <c r="A213" s="12" t="s">
        <v>4457</v>
      </c>
      <c r="B213" s="12" t="s">
        <v>4436</v>
      </c>
      <c r="C213" s="12" t="s">
        <v>4404</v>
      </c>
      <c r="D213" s="11" t="s">
        <v>4010</v>
      </c>
      <c r="E213" s="12"/>
      <c r="F213" s="12" t="s">
        <v>4122</v>
      </c>
    </row>
    <row r="214" spans="1:6" x14ac:dyDescent="0.3">
      <c r="A214" s="12" t="s">
        <v>4458</v>
      </c>
      <c r="B214" s="12" t="s">
        <v>4436</v>
      </c>
      <c r="C214" s="12" t="s">
        <v>4459</v>
      </c>
      <c r="D214" s="11" t="s">
        <v>37</v>
      </c>
      <c r="E214" s="12" t="s">
        <v>4460</v>
      </c>
      <c r="F214" s="12"/>
    </row>
    <row r="215" spans="1:6" x14ac:dyDescent="0.3">
      <c r="A215" s="12" t="s">
        <v>4461</v>
      </c>
      <c r="B215" s="12" t="s">
        <v>4436</v>
      </c>
      <c r="C215" s="12" t="s">
        <v>4462</v>
      </c>
      <c r="D215" s="11" t="s">
        <v>37</v>
      </c>
      <c r="E215" s="12" t="s">
        <v>3076</v>
      </c>
      <c r="F215" s="12"/>
    </row>
    <row r="216" spans="1:6" x14ac:dyDescent="0.3">
      <c r="A216" s="12" t="s">
        <v>4463</v>
      </c>
      <c r="B216" s="12" t="s">
        <v>4464</v>
      </c>
      <c r="C216" s="12" t="s">
        <v>4152</v>
      </c>
      <c r="D216" s="11" t="s">
        <v>37</v>
      </c>
      <c r="E216" s="12" t="s">
        <v>2878</v>
      </c>
      <c r="F216" s="12"/>
    </row>
    <row r="217" spans="1:6" x14ac:dyDescent="0.3">
      <c r="A217" s="12" t="s">
        <v>4465</v>
      </c>
      <c r="B217" s="12" t="s">
        <v>4464</v>
      </c>
      <c r="C217" s="12" t="s">
        <v>4154</v>
      </c>
      <c r="D217" s="11" t="s">
        <v>37</v>
      </c>
      <c r="E217" s="12" t="s">
        <v>2878</v>
      </c>
      <c r="F217" s="12"/>
    </row>
    <row r="218" spans="1:6" x14ac:dyDescent="0.3">
      <c r="A218" s="12" t="s">
        <v>4466</v>
      </c>
      <c r="B218" s="12" t="s">
        <v>4467</v>
      </c>
      <c r="C218" s="12" t="s">
        <v>4016</v>
      </c>
      <c r="D218" s="11" t="s">
        <v>37</v>
      </c>
      <c r="E218" s="12" t="s">
        <v>4468</v>
      </c>
      <c r="F218" s="12"/>
    </row>
    <row r="219" spans="1:6" ht="26.4" x14ac:dyDescent="0.3">
      <c r="A219" s="12" t="s">
        <v>4469</v>
      </c>
      <c r="B219" s="12" t="s">
        <v>4467</v>
      </c>
      <c r="C219" s="12" t="s">
        <v>4019</v>
      </c>
      <c r="D219" s="11" t="s">
        <v>37</v>
      </c>
      <c r="E219" s="12" t="s">
        <v>4468</v>
      </c>
      <c r="F219" s="12"/>
    </row>
    <row r="220" spans="1:6" x14ac:dyDescent="0.3">
      <c r="A220" s="12" t="s">
        <v>4470</v>
      </c>
      <c r="B220" s="12" t="s">
        <v>4467</v>
      </c>
      <c r="C220" s="12" t="s">
        <v>4164</v>
      </c>
      <c r="D220" s="11" t="s">
        <v>37</v>
      </c>
      <c r="E220" s="12" t="s">
        <v>3036</v>
      </c>
      <c r="F220" s="12"/>
    </row>
    <row r="221" spans="1:6" ht="26.4" x14ac:dyDescent="0.3">
      <c r="A221" s="12" t="s">
        <v>4471</v>
      </c>
      <c r="B221" s="12" t="s">
        <v>4467</v>
      </c>
      <c r="C221" s="12" t="s">
        <v>4472</v>
      </c>
      <c r="D221" s="11" t="s">
        <v>37</v>
      </c>
      <c r="E221" s="12" t="s">
        <v>3021</v>
      </c>
      <c r="F221" s="12"/>
    </row>
    <row r="222" spans="1:6" ht="26.4" x14ac:dyDescent="0.3">
      <c r="A222" s="12" t="s">
        <v>4473</v>
      </c>
      <c r="B222" s="12" t="s">
        <v>4467</v>
      </c>
      <c r="C222" s="12" t="s">
        <v>4474</v>
      </c>
      <c r="D222" s="11" t="s">
        <v>37</v>
      </c>
      <c r="E222" s="12" t="s">
        <v>3026</v>
      </c>
      <c r="F222" s="12"/>
    </row>
    <row r="223" spans="1:6" x14ac:dyDescent="0.3">
      <c r="A223" s="12" t="s">
        <v>4475</v>
      </c>
      <c r="B223" s="12" t="s">
        <v>4467</v>
      </c>
      <c r="C223" s="12" t="s">
        <v>4381</v>
      </c>
      <c r="D223" s="11" t="s">
        <v>37</v>
      </c>
      <c r="E223" s="12" t="s">
        <v>3031</v>
      </c>
      <c r="F223" s="12"/>
    </row>
    <row r="224" spans="1:6" x14ac:dyDescent="0.3">
      <c r="A224" s="12" t="s">
        <v>4476</v>
      </c>
      <c r="B224" s="12" t="s">
        <v>4477</v>
      </c>
      <c r="C224" s="12" t="s">
        <v>4016</v>
      </c>
      <c r="D224" s="11" t="s">
        <v>37</v>
      </c>
      <c r="E224" s="12" t="s">
        <v>3010</v>
      </c>
      <c r="F224" s="12"/>
    </row>
    <row r="225" spans="1:6" ht="26.4" x14ac:dyDescent="0.3">
      <c r="A225" s="12" t="s">
        <v>4478</v>
      </c>
      <c r="B225" s="12" t="s">
        <v>4477</v>
      </c>
      <c r="C225" s="12" t="s">
        <v>4019</v>
      </c>
      <c r="D225" s="11" t="s">
        <v>37</v>
      </c>
      <c r="E225" s="12" t="s">
        <v>3010</v>
      </c>
      <c r="F225" s="12"/>
    </row>
    <row r="226" spans="1:6" x14ac:dyDescent="0.3">
      <c r="A226" s="12" t="s">
        <v>4479</v>
      </c>
      <c r="B226" s="12" t="s">
        <v>4477</v>
      </c>
      <c r="C226" s="12" t="s">
        <v>4480</v>
      </c>
      <c r="D226" s="11" t="s">
        <v>37</v>
      </c>
      <c r="E226" s="12" t="s">
        <v>3010</v>
      </c>
      <c r="F226" s="12"/>
    </row>
    <row r="227" spans="1:6" x14ac:dyDescent="0.3">
      <c r="A227" s="12" t="s">
        <v>4481</v>
      </c>
      <c r="B227" s="12" t="s">
        <v>4482</v>
      </c>
      <c r="C227" s="12" t="s">
        <v>4483</v>
      </c>
      <c r="D227" s="11" t="s">
        <v>4010</v>
      </c>
      <c r="E227" s="12"/>
      <c r="F227" s="12" t="s">
        <v>4122</v>
      </c>
    </row>
    <row r="228" spans="1:6" x14ac:dyDescent="0.3">
      <c r="A228" s="12" t="s">
        <v>4484</v>
      </c>
      <c r="B228" s="12" t="s">
        <v>4482</v>
      </c>
      <c r="C228" s="12" t="s">
        <v>4485</v>
      </c>
      <c r="D228" s="11" t="s">
        <v>4010</v>
      </c>
      <c r="E228" s="12"/>
      <c r="F228" s="12" t="s">
        <v>4122</v>
      </c>
    </row>
    <row r="229" spans="1:6" ht="26.4" x14ac:dyDescent="0.3">
      <c r="A229" s="12" t="s">
        <v>4486</v>
      </c>
      <c r="B229" s="12" t="s">
        <v>4482</v>
      </c>
      <c r="C229" s="12" t="s">
        <v>4487</v>
      </c>
      <c r="D229" s="11" t="s">
        <v>37</v>
      </c>
      <c r="E229" s="12" t="s">
        <v>4488</v>
      </c>
      <c r="F229" s="12"/>
    </row>
    <row r="230" spans="1:6" x14ac:dyDescent="0.3">
      <c r="A230" s="12" t="s">
        <v>4489</v>
      </c>
      <c r="B230" s="12" t="s">
        <v>4482</v>
      </c>
      <c r="C230" s="12" t="s">
        <v>4490</v>
      </c>
      <c r="D230" s="11" t="s">
        <v>4010</v>
      </c>
      <c r="E230" s="12"/>
      <c r="F230" s="12" t="s">
        <v>4122</v>
      </c>
    </row>
    <row r="231" spans="1:6" x14ac:dyDescent="0.3">
      <c r="A231" s="12" t="s">
        <v>4491</v>
      </c>
      <c r="B231" s="12" t="s">
        <v>4482</v>
      </c>
      <c r="C231" s="12" t="s">
        <v>4492</v>
      </c>
      <c r="D231" s="11" t="s">
        <v>4010</v>
      </c>
      <c r="E231" s="12"/>
      <c r="F231" s="12" t="s">
        <v>4122</v>
      </c>
    </row>
    <row r="232" spans="1:6" x14ac:dyDescent="0.3">
      <c r="A232" s="12" t="s">
        <v>4493</v>
      </c>
      <c r="B232" s="12" t="s">
        <v>4482</v>
      </c>
      <c r="C232" s="12" t="s">
        <v>4494</v>
      </c>
      <c r="D232" s="11" t="s">
        <v>4010</v>
      </c>
      <c r="E232" s="12"/>
      <c r="F232" s="12" t="s">
        <v>4122</v>
      </c>
    </row>
    <row r="233" spans="1:6" x14ac:dyDescent="0.3">
      <c r="A233" s="12" t="s">
        <v>4495</v>
      </c>
      <c r="B233" s="12" t="s">
        <v>4482</v>
      </c>
      <c r="C233" s="12" t="s">
        <v>4377</v>
      </c>
      <c r="D233" s="11" t="s">
        <v>4010</v>
      </c>
      <c r="E233" s="12"/>
      <c r="F233" s="12" t="s">
        <v>4122</v>
      </c>
    </row>
    <row r="234" spans="1:6" x14ac:dyDescent="0.3">
      <c r="A234" s="12" t="s">
        <v>4496</v>
      </c>
      <c r="B234" s="12" t="s">
        <v>4482</v>
      </c>
      <c r="C234" s="12" t="s">
        <v>4497</v>
      </c>
      <c r="D234" s="11" t="s">
        <v>4010</v>
      </c>
      <c r="E234" s="12"/>
      <c r="F234" s="12" t="s">
        <v>4122</v>
      </c>
    </row>
    <row r="235" spans="1:6" x14ac:dyDescent="0.3">
      <c r="A235" s="12" t="s">
        <v>4498</v>
      </c>
      <c r="B235" s="12" t="s">
        <v>4482</v>
      </c>
      <c r="C235" s="12" t="s">
        <v>4499</v>
      </c>
      <c r="D235" s="11" t="s">
        <v>4010</v>
      </c>
      <c r="E235" s="12"/>
      <c r="F235" s="12" t="s">
        <v>4122</v>
      </c>
    </row>
    <row r="236" spans="1:6" x14ac:dyDescent="0.3">
      <c r="A236" s="12" t="s">
        <v>4500</v>
      </c>
      <c r="B236" s="12" t="s">
        <v>4482</v>
      </c>
      <c r="C236" s="12" t="s">
        <v>4501</v>
      </c>
      <c r="D236" s="11" t="s">
        <v>4010</v>
      </c>
      <c r="E236" s="12"/>
      <c r="F236" s="12" t="s">
        <v>4122</v>
      </c>
    </row>
    <row r="237" spans="1:6" x14ac:dyDescent="0.3">
      <c r="A237" s="12" t="s">
        <v>4502</v>
      </c>
      <c r="B237" s="12" t="s">
        <v>4503</v>
      </c>
      <c r="C237" s="12" t="s">
        <v>4016</v>
      </c>
      <c r="D237" s="11" t="s">
        <v>37</v>
      </c>
      <c r="E237" s="12" t="s">
        <v>4504</v>
      </c>
      <c r="F237" s="12"/>
    </row>
    <row r="238" spans="1:6" ht="26.4" x14ac:dyDescent="0.3">
      <c r="A238" s="12" t="s">
        <v>4505</v>
      </c>
      <c r="B238" s="12" t="s">
        <v>4503</v>
      </c>
      <c r="C238" s="12" t="s">
        <v>4019</v>
      </c>
      <c r="D238" s="11" t="s">
        <v>37</v>
      </c>
      <c r="E238" s="12" t="s">
        <v>4504</v>
      </c>
      <c r="F238" s="12"/>
    </row>
    <row r="239" spans="1:6" x14ac:dyDescent="0.3">
      <c r="A239" s="12" t="s">
        <v>4506</v>
      </c>
      <c r="B239" s="12" t="s">
        <v>4507</v>
      </c>
      <c r="C239" s="12" t="s">
        <v>4016</v>
      </c>
      <c r="D239" s="11" t="s">
        <v>37</v>
      </c>
      <c r="E239" s="12" t="s">
        <v>2993</v>
      </c>
      <c r="F239" s="12"/>
    </row>
    <row r="240" spans="1:6" ht="26.4" x14ac:dyDescent="0.3">
      <c r="A240" s="12" t="s">
        <v>4508</v>
      </c>
      <c r="B240" s="12" t="s">
        <v>4507</v>
      </c>
      <c r="C240" s="12" t="s">
        <v>4019</v>
      </c>
      <c r="D240" s="11" t="s">
        <v>37</v>
      </c>
      <c r="E240" s="12" t="s">
        <v>2993</v>
      </c>
      <c r="F240" s="12"/>
    </row>
    <row r="241" spans="1:6" x14ac:dyDescent="0.3">
      <c r="A241" s="12" t="s">
        <v>4509</v>
      </c>
      <c r="B241" s="12" t="s">
        <v>4013</v>
      </c>
      <c r="C241" s="12" t="s">
        <v>4009</v>
      </c>
      <c r="D241" s="11" t="s">
        <v>4010</v>
      </c>
      <c r="E241" s="12"/>
      <c r="F241" s="12" t="s">
        <v>4149</v>
      </c>
    </row>
    <row r="242" spans="1:6" x14ac:dyDescent="0.3">
      <c r="A242" s="12" t="s">
        <v>4510</v>
      </c>
      <c r="B242" s="12" t="s">
        <v>4511</v>
      </c>
      <c r="C242" s="12" t="s">
        <v>4016</v>
      </c>
      <c r="D242" s="11" t="s">
        <v>37</v>
      </c>
      <c r="E242" s="12" t="s">
        <v>4512</v>
      </c>
      <c r="F242" s="12"/>
    </row>
    <row r="243" spans="1:6" ht="26.4" x14ac:dyDescent="0.3">
      <c r="A243" s="12" t="s">
        <v>4513</v>
      </c>
      <c r="B243" s="12" t="s">
        <v>4511</v>
      </c>
      <c r="C243" s="12" t="s">
        <v>4019</v>
      </c>
      <c r="D243" s="11" t="s">
        <v>37</v>
      </c>
      <c r="E243" s="12" t="s">
        <v>4512</v>
      </c>
      <c r="F243" s="12"/>
    </row>
    <row r="244" spans="1:6" x14ac:dyDescent="0.3">
      <c r="A244" s="12" t="s">
        <v>4514</v>
      </c>
      <c r="B244" s="12" t="s">
        <v>4511</v>
      </c>
      <c r="C244" s="12" t="s">
        <v>4164</v>
      </c>
      <c r="D244" s="11" t="s">
        <v>37</v>
      </c>
      <c r="E244" s="12" t="s">
        <v>2511</v>
      </c>
      <c r="F244" s="12"/>
    </row>
    <row r="245" spans="1:6" x14ac:dyDescent="0.3">
      <c r="A245" s="12" t="s">
        <v>4515</v>
      </c>
      <c r="B245" s="12" t="s">
        <v>4516</v>
      </c>
      <c r="C245" s="12" t="s">
        <v>4152</v>
      </c>
      <c r="D245" s="11" t="s">
        <v>37</v>
      </c>
      <c r="E245" s="12" t="s">
        <v>4517</v>
      </c>
      <c r="F245" s="12"/>
    </row>
    <row r="246" spans="1:6" x14ac:dyDescent="0.3">
      <c r="A246" s="12" t="s">
        <v>4518</v>
      </c>
      <c r="B246" s="12" t="s">
        <v>4516</v>
      </c>
      <c r="C246" s="12" t="s">
        <v>4154</v>
      </c>
      <c r="D246" s="11" t="s">
        <v>37</v>
      </c>
      <c r="E246" s="12" t="s">
        <v>4517</v>
      </c>
      <c r="F246" s="12"/>
    </row>
    <row r="247" spans="1:6" x14ac:dyDescent="0.3">
      <c r="A247" s="12" t="s">
        <v>4519</v>
      </c>
      <c r="B247" s="12" t="s">
        <v>4520</v>
      </c>
      <c r="C247" s="12" t="s">
        <v>4152</v>
      </c>
      <c r="D247" s="11" t="s">
        <v>37</v>
      </c>
      <c r="E247" s="12" t="s">
        <v>2633</v>
      </c>
      <c r="F247" s="12"/>
    </row>
    <row r="248" spans="1:6" x14ac:dyDescent="0.3">
      <c r="A248" s="12" t="s">
        <v>4521</v>
      </c>
      <c r="B248" s="12" t="s">
        <v>4520</v>
      </c>
      <c r="C248" s="12" t="s">
        <v>4154</v>
      </c>
      <c r="D248" s="11" t="s">
        <v>37</v>
      </c>
      <c r="E248" s="12" t="s">
        <v>2633</v>
      </c>
      <c r="F248" s="12"/>
    </row>
    <row r="249" spans="1:6" x14ac:dyDescent="0.3">
      <c r="A249" s="12" t="s">
        <v>4522</v>
      </c>
      <c r="B249" s="12" t="s">
        <v>4520</v>
      </c>
      <c r="C249" s="12" t="s">
        <v>4159</v>
      </c>
      <c r="D249" s="11" t="s">
        <v>37</v>
      </c>
      <c r="E249" s="12" t="s">
        <v>2658</v>
      </c>
      <c r="F249" s="12"/>
    </row>
    <row r="250" spans="1:6" x14ac:dyDescent="0.3">
      <c r="A250" s="12" t="s">
        <v>4523</v>
      </c>
      <c r="B250" s="12" t="s">
        <v>4520</v>
      </c>
      <c r="C250" s="12" t="s">
        <v>4524</v>
      </c>
      <c r="D250" s="11" t="s">
        <v>37</v>
      </c>
      <c r="E250" s="12" t="s">
        <v>4525</v>
      </c>
      <c r="F250" s="12"/>
    </row>
    <row r="251" spans="1:6" x14ac:dyDescent="0.3">
      <c r="A251" s="12" t="s">
        <v>4526</v>
      </c>
      <c r="B251" s="12" t="s">
        <v>4527</v>
      </c>
      <c r="C251" s="12" t="s">
        <v>4152</v>
      </c>
      <c r="D251" s="11" t="s">
        <v>4010</v>
      </c>
      <c r="E251" s="12"/>
      <c r="F251" s="12" t="s">
        <v>4122</v>
      </c>
    </row>
    <row r="252" spans="1:6" x14ac:dyDescent="0.3">
      <c r="A252" s="12" t="s">
        <v>4528</v>
      </c>
      <c r="B252" s="12" t="s">
        <v>4527</v>
      </c>
      <c r="C252" s="12" t="s">
        <v>4154</v>
      </c>
      <c r="D252" s="11" t="s">
        <v>4010</v>
      </c>
      <c r="E252" s="12"/>
      <c r="F252" s="12" t="s">
        <v>4122</v>
      </c>
    </row>
    <row r="253" spans="1:6" x14ac:dyDescent="0.3">
      <c r="A253" s="12" t="s">
        <v>4529</v>
      </c>
      <c r="B253" s="12" t="s">
        <v>4527</v>
      </c>
      <c r="C253" s="12" t="s">
        <v>4530</v>
      </c>
      <c r="D253" s="11" t="s">
        <v>37</v>
      </c>
      <c r="E253" s="12" t="s">
        <v>2673</v>
      </c>
      <c r="F253" s="12"/>
    </row>
    <row r="254" spans="1:6" x14ac:dyDescent="0.3">
      <c r="A254" s="12" t="s">
        <v>4531</v>
      </c>
      <c r="B254" s="12" t="s">
        <v>4013</v>
      </c>
      <c r="C254" s="12" t="s">
        <v>4009</v>
      </c>
      <c r="D254" s="11" t="s">
        <v>4010</v>
      </c>
      <c r="E254" s="12"/>
      <c r="F254" s="12" t="s">
        <v>4149</v>
      </c>
    </row>
    <row r="255" spans="1:6" x14ac:dyDescent="0.3">
      <c r="A255" s="12" t="s">
        <v>4532</v>
      </c>
      <c r="B255" s="12" t="s">
        <v>4533</v>
      </c>
      <c r="C255" s="12" t="s">
        <v>4016</v>
      </c>
      <c r="D255" s="11" t="s">
        <v>37</v>
      </c>
      <c r="E255" s="12" t="s">
        <v>2245</v>
      </c>
      <c r="F255" s="12"/>
    </row>
    <row r="256" spans="1:6" ht="26.4" x14ac:dyDescent="0.3">
      <c r="A256" s="12" t="s">
        <v>4534</v>
      </c>
      <c r="B256" s="12" t="s">
        <v>4533</v>
      </c>
      <c r="C256" s="12" t="s">
        <v>4019</v>
      </c>
      <c r="D256" s="11" t="s">
        <v>37</v>
      </c>
      <c r="E256" s="12" t="s">
        <v>2245</v>
      </c>
      <c r="F256" s="12"/>
    </row>
    <row r="257" spans="1:6" x14ac:dyDescent="0.3">
      <c r="A257" s="12" t="s">
        <v>4535</v>
      </c>
      <c r="B257" s="12" t="s">
        <v>4536</v>
      </c>
      <c r="C257" s="12" t="s">
        <v>4016</v>
      </c>
      <c r="D257" s="11" t="s">
        <v>37</v>
      </c>
      <c r="E257" s="12" t="s">
        <v>2245</v>
      </c>
      <c r="F257" s="12"/>
    </row>
    <row r="258" spans="1:6" ht="26.4" x14ac:dyDescent="0.3">
      <c r="A258" s="12" t="s">
        <v>4537</v>
      </c>
      <c r="B258" s="12" t="s">
        <v>4536</v>
      </c>
      <c r="C258" s="12" t="s">
        <v>4019</v>
      </c>
      <c r="D258" s="11" t="s">
        <v>37</v>
      </c>
      <c r="E258" s="12" t="s">
        <v>2245</v>
      </c>
      <c r="F258" s="12"/>
    </row>
    <row r="259" spans="1:6" x14ac:dyDescent="0.3">
      <c r="A259" s="12" t="s">
        <v>4538</v>
      </c>
      <c r="B259" s="12" t="s">
        <v>4013</v>
      </c>
      <c r="C259" s="12" t="s">
        <v>4009</v>
      </c>
      <c r="D259" s="11" t="s">
        <v>37</v>
      </c>
      <c r="E259" s="12" t="s">
        <v>3683</v>
      </c>
      <c r="F259" s="12"/>
    </row>
    <row r="260" spans="1:6" ht="52.8" x14ac:dyDescent="0.3">
      <c r="A260" s="12" t="s">
        <v>477</v>
      </c>
      <c r="B260" s="12" t="s">
        <v>4539</v>
      </c>
      <c r="C260" s="12" t="s">
        <v>4016</v>
      </c>
      <c r="D260" s="11" t="s">
        <v>37</v>
      </c>
      <c r="E260" s="12" t="s">
        <v>4540</v>
      </c>
      <c r="F260" s="12"/>
    </row>
    <row r="261" spans="1:6" ht="52.8" x14ac:dyDescent="0.3">
      <c r="A261" s="12" t="s">
        <v>4541</v>
      </c>
      <c r="B261" s="12" t="s">
        <v>4539</v>
      </c>
      <c r="C261" s="12" t="s">
        <v>4019</v>
      </c>
      <c r="D261" s="11" t="s">
        <v>37</v>
      </c>
      <c r="E261" s="12" t="s">
        <v>4540</v>
      </c>
      <c r="F261" s="12"/>
    </row>
    <row r="262" spans="1:6" ht="26.4" x14ac:dyDescent="0.3">
      <c r="A262" s="12" t="s">
        <v>4542</v>
      </c>
      <c r="B262" s="12" t="s">
        <v>4543</v>
      </c>
      <c r="C262" s="12" t="s">
        <v>4009</v>
      </c>
      <c r="D262" s="11" t="s">
        <v>37</v>
      </c>
      <c r="E262" s="12" t="s">
        <v>4544</v>
      </c>
      <c r="F262" s="12"/>
    </row>
    <row r="263" spans="1:6" x14ac:dyDescent="0.3">
      <c r="A263" s="12" t="s">
        <v>4545</v>
      </c>
      <c r="B263" s="12" t="s">
        <v>4013</v>
      </c>
      <c r="C263" s="12" t="s">
        <v>4009</v>
      </c>
      <c r="D263" s="11" t="s">
        <v>4010</v>
      </c>
      <c r="E263" s="12"/>
      <c r="F263" s="12" t="s">
        <v>4149</v>
      </c>
    </row>
    <row r="264" spans="1:6" x14ac:dyDescent="0.3">
      <c r="A264" s="12" t="s">
        <v>4546</v>
      </c>
      <c r="B264" s="12" t="s">
        <v>4547</v>
      </c>
      <c r="C264" s="12" t="s">
        <v>4152</v>
      </c>
      <c r="D264" s="11" t="s">
        <v>37</v>
      </c>
      <c r="E264" s="12" t="s">
        <v>4548</v>
      </c>
      <c r="F264" s="12"/>
    </row>
    <row r="265" spans="1:6" x14ac:dyDescent="0.3">
      <c r="A265" s="12" t="s">
        <v>4549</v>
      </c>
      <c r="B265" s="12" t="s">
        <v>4547</v>
      </c>
      <c r="C265" s="12" t="s">
        <v>4154</v>
      </c>
      <c r="D265" s="11" t="s">
        <v>37</v>
      </c>
      <c r="E265" s="12" t="s">
        <v>4548</v>
      </c>
      <c r="F265" s="12"/>
    </row>
    <row r="266" spans="1:6" x14ac:dyDescent="0.3">
      <c r="A266" s="12" t="s">
        <v>4550</v>
      </c>
      <c r="B266" s="12" t="s">
        <v>4547</v>
      </c>
      <c r="C266" s="12" t="s">
        <v>4551</v>
      </c>
      <c r="D266" s="11" t="s">
        <v>37</v>
      </c>
      <c r="E266" s="12" t="s">
        <v>2597</v>
      </c>
      <c r="F266" s="12"/>
    </row>
    <row r="267" spans="1:6" x14ac:dyDescent="0.3">
      <c r="A267" s="12" t="s">
        <v>4552</v>
      </c>
      <c r="B267" s="12" t="s">
        <v>4547</v>
      </c>
      <c r="C267" s="12" t="s">
        <v>4553</v>
      </c>
      <c r="D267" s="11" t="s">
        <v>37</v>
      </c>
      <c r="E267" s="12" t="s">
        <v>4554</v>
      </c>
      <c r="F267" s="12"/>
    </row>
    <row r="268" spans="1:6" x14ac:dyDescent="0.3">
      <c r="A268" s="12" t="s">
        <v>4555</v>
      </c>
      <c r="B268" s="12" t="s">
        <v>4547</v>
      </c>
      <c r="C268" s="12" t="s">
        <v>4556</v>
      </c>
      <c r="D268" s="11" t="s">
        <v>37</v>
      </c>
      <c r="E268" s="12" t="s">
        <v>2551</v>
      </c>
      <c r="F268" s="12"/>
    </row>
    <row r="269" spans="1:6" x14ac:dyDescent="0.3">
      <c r="A269" s="12" t="s">
        <v>4557</v>
      </c>
      <c r="B269" s="12" t="s">
        <v>4547</v>
      </c>
      <c r="C269" s="12" t="s">
        <v>4558</v>
      </c>
      <c r="D269" s="11" t="s">
        <v>37</v>
      </c>
      <c r="E269" s="12" t="s">
        <v>4559</v>
      </c>
      <c r="F269" s="12"/>
    </row>
    <row r="270" spans="1:6" x14ac:dyDescent="0.3">
      <c r="A270" s="12" t="s">
        <v>4560</v>
      </c>
      <c r="B270" s="12" t="s">
        <v>4547</v>
      </c>
      <c r="C270" s="12" t="s">
        <v>4561</v>
      </c>
      <c r="D270" s="11" t="s">
        <v>37</v>
      </c>
      <c r="E270" s="12" t="s">
        <v>2592</v>
      </c>
      <c r="F270" s="12"/>
    </row>
    <row r="271" spans="1:6" x14ac:dyDescent="0.3">
      <c r="A271" s="12" t="s">
        <v>4562</v>
      </c>
      <c r="B271" s="12" t="s">
        <v>4563</v>
      </c>
      <c r="C271" s="12" t="s">
        <v>4016</v>
      </c>
      <c r="D271" s="11" t="s">
        <v>37</v>
      </c>
      <c r="E271" s="12" t="s">
        <v>4564</v>
      </c>
      <c r="F271" s="12"/>
    </row>
    <row r="272" spans="1:6" ht="26.4" x14ac:dyDescent="0.3">
      <c r="A272" s="12" t="s">
        <v>4565</v>
      </c>
      <c r="B272" s="12" t="s">
        <v>4563</v>
      </c>
      <c r="C272" s="12" t="s">
        <v>4019</v>
      </c>
      <c r="D272" s="11" t="s">
        <v>37</v>
      </c>
      <c r="E272" s="12" t="s">
        <v>4564</v>
      </c>
      <c r="F272" s="12"/>
    </row>
    <row r="273" spans="1:6" x14ac:dyDescent="0.3">
      <c r="A273" s="12" t="s">
        <v>4566</v>
      </c>
      <c r="B273" s="12" t="s">
        <v>4567</v>
      </c>
      <c r="C273" s="12" t="s">
        <v>4016</v>
      </c>
      <c r="D273" s="11" t="s">
        <v>37</v>
      </c>
      <c r="E273" s="12" t="s">
        <v>4568</v>
      </c>
      <c r="F273" s="12"/>
    </row>
    <row r="274" spans="1:6" ht="26.4" x14ac:dyDescent="0.3">
      <c r="A274" s="12" t="s">
        <v>4569</v>
      </c>
      <c r="B274" s="12" t="s">
        <v>4567</v>
      </c>
      <c r="C274" s="12" t="s">
        <v>4019</v>
      </c>
      <c r="D274" s="11" t="s">
        <v>37</v>
      </c>
      <c r="E274" s="12" t="s">
        <v>4568</v>
      </c>
      <c r="F274" s="12"/>
    </row>
    <row r="275" spans="1:6" x14ac:dyDescent="0.3">
      <c r="A275" s="12" t="s">
        <v>4570</v>
      </c>
      <c r="B275" s="12" t="s">
        <v>4571</v>
      </c>
      <c r="C275" s="12" t="s">
        <v>4016</v>
      </c>
      <c r="D275" s="11" t="s">
        <v>37</v>
      </c>
      <c r="E275" s="12" t="s">
        <v>4572</v>
      </c>
      <c r="F275" s="12"/>
    </row>
    <row r="276" spans="1:6" ht="26.4" x14ac:dyDescent="0.3">
      <c r="A276" s="12" t="s">
        <v>4573</v>
      </c>
      <c r="B276" s="12" t="s">
        <v>4571</v>
      </c>
      <c r="C276" s="12" t="s">
        <v>4019</v>
      </c>
      <c r="D276" s="11" t="s">
        <v>37</v>
      </c>
      <c r="E276" s="12" t="s">
        <v>4572</v>
      </c>
      <c r="F276" s="12"/>
    </row>
    <row r="277" spans="1:6" x14ac:dyDescent="0.3">
      <c r="A277" s="12" t="s">
        <v>4574</v>
      </c>
      <c r="B277" s="12" t="s">
        <v>4575</v>
      </c>
      <c r="C277" s="12" t="s">
        <v>4016</v>
      </c>
      <c r="D277" s="11" t="s">
        <v>37</v>
      </c>
      <c r="E277" s="12" t="s">
        <v>4576</v>
      </c>
      <c r="F277" s="12"/>
    </row>
    <row r="278" spans="1:6" ht="26.4" x14ac:dyDescent="0.3">
      <c r="A278" s="12" t="s">
        <v>4577</v>
      </c>
      <c r="B278" s="12" t="s">
        <v>4575</v>
      </c>
      <c r="C278" s="12" t="s">
        <v>4019</v>
      </c>
      <c r="D278" s="11" t="s">
        <v>37</v>
      </c>
      <c r="E278" s="12" t="s">
        <v>4576</v>
      </c>
      <c r="F278" s="12"/>
    </row>
    <row r="279" spans="1:6" x14ac:dyDescent="0.3">
      <c r="A279" s="12" t="s">
        <v>4578</v>
      </c>
      <c r="B279" s="12" t="s">
        <v>4575</v>
      </c>
      <c r="C279" s="12" t="s">
        <v>4579</v>
      </c>
      <c r="D279" s="11" t="s">
        <v>37</v>
      </c>
      <c r="E279" s="12" t="s">
        <v>2717</v>
      </c>
      <c r="F279" s="12"/>
    </row>
    <row r="280" spans="1:6" x14ac:dyDescent="0.3">
      <c r="A280" s="12" t="s">
        <v>4580</v>
      </c>
      <c r="B280" s="12" t="s">
        <v>4575</v>
      </c>
      <c r="C280" s="12" t="s">
        <v>4581</v>
      </c>
      <c r="D280" s="11" t="s">
        <v>37</v>
      </c>
      <c r="E280" s="12" t="s">
        <v>2712</v>
      </c>
      <c r="F280" s="12"/>
    </row>
    <row r="281" spans="1:6" x14ac:dyDescent="0.3">
      <c r="A281" s="12" t="s">
        <v>4582</v>
      </c>
      <c r="B281" s="12" t="s">
        <v>4583</v>
      </c>
      <c r="C281" s="12" t="s">
        <v>4009</v>
      </c>
      <c r="D281" s="11" t="s">
        <v>37</v>
      </c>
      <c r="E281" s="12" t="s">
        <v>4584</v>
      </c>
      <c r="F281" s="12"/>
    </row>
    <row r="282" spans="1:6" x14ac:dyDescent="0.3">
      <c r="A282" s="12" t="s">
        <v>4585</v>
      </c>
      <c r="B282" s="12" t="s">
        <v>4586</v>
      </c>
      <c r="C282" s="12" t="s">
        <v>4009</v>
      </c>
      <c r="D282" s="11" t="s">
        <v>37</v>
      </c>
      <c r="E282" s="12" t="s">
        <v>2615</v>
      </c>
      <c r="F282" s="12"/>
    </row>
    <row r="283" spans="1:6" x14ac:dyDescent="0.3">
      <c r="A283" s="12" t="s">
        <v>4587</v>
      </c>
      <c r="B283" s="12" t="s">
        <v>4588</v>
      </c>
      <c r="C283" s="12" t="s">
        <v>4016</v>
      </c>
      <c r="D283" s="11" t="s">
        <v>37</v>
      </c>
      <c r="E283" s="12" t="s">
        <v>4589</v>
      </c>
      <c r="F283" s="12"/>
    </row>
    <row r="284" spans="1:6" ht="26.4" x14ac:dyDescent="0.3">
      <c r="A284" s="12" t="s">
        <v>4590</v>
      </c>
      <c r="B284" s="12" t="s">
        <v>4588</v>
      </c>
      <c r="C284" s="12" t="s">
        <v>4019</v>
      </c>
      <c r="D284" s="11" t="s">
        <v>37</v>
      </c>
      <c r="E284" s="12" t="s">
        <v>4589</v>
      </c>
      <c r="F284" s="12"/>
    </row>
    <row r="285" spans="1:6" x14ac:dyDescent="0.3">
      <c r="A285" s="12" t="s">
        <v>4591</v>
      </c>
      <c r="B285" s="12" t="s">
        <v>4592</v>
      </c>
      <c r="C285" s="12" t="s">
        <v>4009</v>
      </c>
      <c r="D285" s="11" t="s">
        <v>37</v>
      </c>
      <c r="E285" s="12" t="s">
        <v>3961</v>
      </c>
      <c r="F285" s="12"/>
    </row>
    <row r="286" spans="1:6" x14ac:dyDescent="0.3">
      <c r="A286" s="12" t="s">
        <v>4593</v>
      </c>
      <c r="B286" s="12" t="s">
        <v>4594</v>
      </c>
      <c r="C286" s="12" t="s">
        <v>4009</v>
      </c>
      <c r="D286" s="11" t="s">
        <v>37</v>
      </c>
      <c r="E286" s="12" t="s">
        <v>4595</v>
      </c>
      <c r="F286" s="12"/>
    </row>
    <row r="287" spans="1:6" x14ac:dyDescent="0.3">
      <c r="A287" s="12" t="s">
        <v>4596</v>
      </c>
      <c r="B287" s="12" t="s">
        <v>4597</v>
      </c>
      <c r="C287" s="12" t="s">
        <v>4009</v>
      </c>
      <c r="D287" s="11" t="s">
        <v>37</v>
      </c>
      <c r="E287" s="12" t="s">
        <v>3736</v>
      </c>
      <c r="F287" s="12"/>
    </row>
    <row r="288" spans="1:6" x14ac:dyDescent="0.3">
      <c r="A288" s="12" t="s">
        <v>4598</v>
      </c>
      <c r="B288" s="12" t="s">
        <v>4599</v>
      </c>
      <c r="C288" s="12" t="s">
        <v>4009</v>
      </c>
      <c r="D288" s="11" t="s">
        <v>37</v>
      </c>
      <c r="E288" s="12" t="s">
        <v>3728</v>
      </c>
      <c r="F288" s="12"/>
    </row>
    <row r="289" spans="1:6" x14ac:dyDescent="0.3">
      <c r="A289" s="12" t="s">
        <v>4600</v>
      </c>
      <c r="B289" s="12" t="s">
        <v>4601</v>
      </c>
      <c r="C289" s="12" t="s">
        <v>4152</v>
      </c>
      <c r="D289" s="11" t="s">
        <v>37</v>
      </c>
      <c r="E289" s="12" t="s">
        <v>3795</v>
      </c>
      <c r="F289" s="12"/>
    </row>
    <row r="290" spans="1:6" x14ac:dyDescent="0.3">
      <c r="A290" s="12" t="s">
        <v>4602</v>
      </c>
      <c r="B290" s="12" t="s">
        <v>4601</v>
      </c>
      <c r="C290" s="12" t="s">
        <v>4603</v>
      </c>
      <c r="D290" s="11" t="s">
        <v>37</v>
      </c>
      <c r="E290" s="12" t="s">
        <v>3795</v>
      </c>
      <c r="F290" s="12"/>
    </row>
    <row r="291" spans="1:6" ht="26.4" x14ac:dyDescent="0.3">
      <c r="A291" s="12" t="s">
        <v>4604</v>
      </c>
      <c r="B291" s="12" t="s">
        <v>4605</v>
      </c>
      <c r="C291" s="12" t="s">
        <v>4009</v>
      </c>
      <c r="D291" s="11" t="s">
        <v>37</v>
      </c>
      <c r="E291" s="12" t="s">
        <v>3806</v>
      </c>
      <c r="F291" s="12"/>
    </row>
    <row r="292" spans="1:6" x14ac:dyDescent="0.3">
      <c r="A292" s="12" t="s">
        <v>4606</v>
      </c>
      <c r="B292" s="12" t="s">
        <v>4607</v>
      </c>
      <c r="C292" s="12" t="s">
        <v>4009</v>
      </c>
      <c r="D292" s="11" t="s">
        <v>37</v>
      </c>
      <c r="E292" s="12" t="s">
        <v>4608</v>
      </c>
      <c r="F292" s="12"/>
    </row>
    <row r="293" spans="1:6" ht="26.4" x14ac:dyDescent="0.3">
      <c r="A293" s="12" t="s">
        <v>4609</v>
      </c>
      <c r="B293" s="12" t="s">
        <v>4607</v>
      </c>
      <c r="C293" s="12" t="s">
        <v>4009</v>
      </c>
      <c r="D293" s="11" t="s">
        <v>37</v>
      </c>
      <c r="E293" s="12" t="s">
        <v>4608</v>
      </c>
      <c r="F293" s="12"/>
    </row>
    <row r="294" spans="1:6" ht="26.4" x14ac:dyDescent="0.3">
      <c r="A294" s="12" t="s">
        <v>4610</v>
      </c>
      <c r="B294" s="12" t="s">
        <v>4611</v>
      </c>
      <c r="C294" s="12" t="s">
        <v>4009</v>
      </c>
      <c r="D294" s="11" t="s">
        <v>37</v>
      </c>
      <c r="E294" s="12" t="s">
        <v>4612</v>
      </c>
      <c r="F294" s="12"/>
    </row>
    <row r="295" spans="1:6" ht="26.4" x14ac:dyDescent="0.3">
      <c r="A295" s="12" t="s">
        <v>4613</v>
      </c>
      <c r="B295" s="12" t="s">
        <v>4614</v>
      </c>
      <c r="C295" s="12" t="s">
        <v>4009</v>
      </c>
      <c r="D295" s="11" t="s">
        <v>37</v>
      </c>
      <c r="E295" s="12" t="s">
        <v>3811</v>
      </c>
      <c r="F295" s="12"/>
    </row>
    <row r="296" spans="1:6" ht="26.4" x14ac:dyDescent="0.3">
      <c r="A296" s="12" t="s">
        <v>4615</v>
      </c>
      <c r="B296" s="12" t="s">
        <v>4601</v>
      </c>
      <c r="C296" s="12" t="s">
        <v>4616</v>
      </c>
      <c r="D296" s="11" t="s">
        <v>4010</v>
      </c>
      <c r="E296" s="12"/>
      <c r="F296" s="12" t="s">
        <v>4617</v>
      </c>
    </row>
    <row r="297" spans="1:6" ht="26.4" x14ac:dyDescent="0.3">
      <c r="A297" s="12" t="s">
        <v>4618</v>
      </c>
      <c r="B297" s="12" t="s">
        <v>4601</v>
      </c>
      <c r="C297" s="12" t="s">
        <v>4619</v>
      </c>
      <c r="D297" s="11" t="s">
        <v>37</v>
      </c>
      <c r="E297" s="12" t="s">
        <v>3790</v>
      </c>
      <c r="F297" s="12"/>
    </row>
    <row r="298" spans="1:6" x14ac:dyDescent="0.3">
      <c r="A298" s="12" t="s">
        <v>4620</v>
      </c>
      <c r="B298" s="12" t="s">
        <v>4621</v>
      </c>
      <c r="C298" s="12" t="s">
        <v>4009</v>
      </c>
      <c r="D298" s="11" t="s">
        <v>37</v>
      </c>
      <c r="E298" s="12" t="s">
        <v>4622</v>
      </c>
      <c r="F298" s="12"/>
    </row>
    <row r="299" spans="1:6" x14ac:dyDescent="0.3">
      <c r="A299" s="12" t="s">
        <v>4623</v>
      </c>
      <c r="B299" s="12" t="s">
        <v>4624</v>
      </c>
      <c r="C299" s="12" t="s">
        <v>4009</v>
      </c>
      <c r="D299" s="11" t="s">
        <v>37</v>
      </c>
      <c r="E299" s="12" t="s">
        <v>4625</v>
      </c>
      <c r="F299" s="12"/>
    </row>
    <row r="300" spans="1:6" x14ac:dyDescent="0.3">
      <c r="A300" s="12" t="s">
        <v>4626</v>
      </c>
      <c r="B300" s="12" t="s">
        <v>4627</v>
      </c>
      <c r="C300" s="12" t="s">
        <v>4009</v>
      </c>
      <c r="D300" s="11" t="s">
        <v>37</v>
      </c>
      <c r="E300" s="12" t="s">
        <v>4625</v>
      </c>
      <c r="F300" s="12"/>
    </row>
    <row r="301" spans="1:6" x14ac:dyDescent="0.3">
      <c r="A301" s="12" t="s">
        <v>4628</v>
      </c>
      <c r="B301" s="12" t="s">
        <v>4629</v>
      </c>
      <c r="C301" s="12" t="s">
        <v>4009</v>
      </c>
      <c r="D301" s="11" t="s">
        <v>37</v>
      </c>
      <c r="E301" s="12" t="s">
        <v>4630</v>
      </c>
      <c r="F301" s="12"/>
    </row>
    <row r="302" spans="1:6" x14ac:dyDescent="0.3">
      <c r="A302" s="12" t="s">
        <v>4631</v>
      </c>
      <c r="B302" s="12" t="s">
        <v>4632</v>
      </c>
      <c r="C302" s="12" t="s">
        <v>4009</v>
      </c>
      <c r="D302" s="11" t="s">
        <v>37</v>
      </c>
      <c r="E302" s="12" t="s">
        <v>3908</v>
      </c>
      <c r="F302" s="12"/>
    </row>
    <row r="303" spans="1:6" x14ac:dyDescent="0.3">
      <c r="A303" s="12" t="s">
        <v>4633</v>
      </c>
      <c r="B303" s="12" t="s">
        <v>4634</v>
      </c>
      <c r="C303" s="12" t="s">
        <v>4009</v>
      </c>
      <c r="D303" s="11" t="s">
        <v>37</v>
      </c>
      <c r="E303" s="12" t="s">
        <v>3908</v>
      </c>
      <c r="F303" s="12"/>
    </row>
    <row r="304" spans="1:6" x14ac:dyDescent="0.3">
      <c r="A304" s="12" t="s">
        <v>4635</v>
      </c>
      <c r="B304" s="12" t="s">
        <v>4636</v>
      </c>
      <c r="C304" s="12" t="s">
        <v>4009</v>
      </c>
      <c r="D304" s="11" t="s">
        <v>37</v>
      </c>
      <c r="E304" s="12" t="s">
        <v>4637</v>
      </c>
      <c r="F304" s="12"/>
    </row>
    <row r="305" spans="1:6" x14ac:dyDescent="0.3">
      <c r="A305" s="12" t="s">
        <v>4638</v>
      </c>
      <c r="B305" s="12" t="s">
        <v>4639</v>
      </c>
      <c r="C305" s="12" t="s">
        <v>4009</v>
      </c>
      <c r="D305" s="11" t="s">
        <v>37</v>
      </c>
      <c r="E305" s="12" t="s">
        <v>4640</v>
      </c>
      <c r="F305" s="12"/>
    </row>
    <row r="306" spans="1:6" x14ac:dyDescent="0.3">
      <c r="A306" s="12" t="s">
        <v>4641</v>
      </c>
      <c r="B306" s="12" t="s">
        <v>4642</v>
      </c>
      <c r="C306" s="12" t="s">
        <v>4009</v>
      </c>
      <c r="D306" s="11" t="s">
        <v>37</v>
      </c>
      <c r="E306" s="12" t="s">
        <v>4643</v>
      </c>
      <c r="F306" s="12"/>
    </row>
    <row r="307" spans="1:6" x14ac:dyDescent="0.3">
      <c r="A307" s="12" t="s">
        <v>4644</v>
      </c>
      <c r="B307" s="12" t="s">
        <v>4642</v>
      </c>
      <c r="C307" s="12" t="s">
        <v>4009</v>
      </c>
      <c r="D307" s="11" t="s">
        <v>37</v>
      </c>
      <c r="E307" s="12" t="s">
        <v>4643</v>
      </c>
      <c r="F307" s="12"/>
    </row>
    <row r="308" spans="1:6" x14ac:dyDescent="0.3">
      <c r="A308" s="12" t="s">
        <v>4645</v>
      </c>
      <c r="B308" s="12" t="s">
        <v>4646</v>
      </c>
      <c r="C308" s="12" t="s">
        <v>4009</v>
      </c>
      <c r="D308" s="11" t="s">
        <v>37</v>
      </c>
      <c r="E308" s="12" t="s">
        <v>4647</v>
      </c>
      <c r="F308" s="12"/>
    </row>
    <row r="309" spans="1:6" x14ac:dyDescent="0.3">
      <c r="A309" s="12" t="s">
        <v>4648</v>
      </c>
      <c r="B309" s="12" t="s">
        <v>4646</v>
      </c>
      <c r="C309" s="12" t="s">
        <v>4009</v>
      </c>
      <c r="D309" s="11" t="s">
        <v>37</v>
      </c>
      <c r="E309" s="12" t="s">
        <v>4647</v>
      </c>
      <c r="F309" s="12"/>
    </row>
    <row r="310" spans="1:6" x14ac:dyDescent="0.3">
      <c r="A310" s="12" t="s">
        <v>4649</v>
      </c>
      <c r="B310" s="12" t="s">
        <v>4650</v>
      </c>
      <c r="C310" s="12" t="s">
        <v>4009</v>
      </c>
      <c r="D310" s="11" t="s">
        <v>37</v>
      </c>
      <c r="E310" s="12" t="s">
        <v>4651</v>
      </c>
      <c r="F310" s="12"/>
    </row>
    <row r="311" spans="1:6" x14ac:dyDescent="0.3">
      <c r="A311" s="12" t="s">
        <v>4652</v>
      </c>
      <c r="B311" s="12" t="s">
        <v>4653</v>
      </c>
      <c r="C311" s="12" t="s">
        <v>4009</v>
      </c>
      <c r="D311" s="11" t="s">
        <v>37</v>
      </c>
      <c r="E311" s="12" t="s">
        <v>3742</v>
      </c>
      <c r="F311" s="12"/>
    </row>
    <row r="312" spans="1:6" x14ac:dyDescent="0.3">
      <c r="A312" s="12" t="s">
        <v>4654</v>
      </c>
      <c r="B312" s="12" t="s">
        <v>4655</v>
      </c>
      <c r="C312" s="12" t="s">
        <v>4009</v>
      </c>
      <c r="D312" s="11" t="s">
        <v>37</v>
      </c>
      <c r="E312" s="12" t="s">
        <v>3949</v>
      </c>
      <c r="F312" s="12"/>
    </row>
    <row r="313" spans="1:6" x14ac:dyDescent="0.3">
      <c r="A313" s="12" t="s">
        <v>4656</v>
      </c>
      <c r="B313" s="12" t="s">
        <v>4657</v>
      </c>
      <c r="C313" s="12" t="s">
        <v>4009</v>
      </c>
      <c r="D313" s="11" t="s">
        <v>37</v>
      </c>
      <c r="E313" s="12" t="s">
        <v>4658</v>
      </c>
      <c r="F313" s="12"/>
    </row>
    <row r="314" spans="1:6" x14ac:dyDescent="0.3">
      <c r="A314" s="12" t="s">
        <v>4659</v>
      </c>
      <c r="B314" s="12" t="s">
        <v>4660</v>
      </c>
      <c r="C314" s="12" t="s">
        <v>4009</v>
      </c>
      <c r="D314" s="11" t="s">
        <v>37</v>
      </c>
      <c r="E314" s="12" t="s">
        <v>4661</v>
      </c>
      <c r="F314" s="12"/>
    </row>
    <row r="315" spans="1:6" ht="26.4" x14ac:dyDescent="0.3">
      <c r="A315" s="12" t="s">
        <v>4662</v>
      </c>
      <c r="B315" s="12" t="s">
        <v>4663</v>
      </c>
      <c r="C315" s="12" t="s">
        <v>4009</v>
      </c>
      <c r="D315" s="11" t="s">
        <v>37</v>
      </c>
      <c r="E315" s="12" t="s">
        <v>4661</v>
      </c>
      <c r="F315" s="12"/>
    </row>
    <row r="316" spans="1:6" ht="39.6" x14ac:dyDescent="0.3">
      <c r="A316" s="12" t="s">
        <v>4664</v>
      </c>
      <c r="B316" s="12" t="s">
        <v>4013</v>
      </c>
      <c r="C316" s="12" t="s">
        <v>4009</v>
      </c>
      <c r="D316" s="11" t="s">
        <v>37</v>
      </c>
      <c r="E316" s="12" t="s">
        <v>4665</v>
      </c>
      <c r="F316" s="12"/>
    </row>
    <row r="317" spans="1:6" ht="39.6" x14ac:dyDescent="0.3">
      <c r="A317" s="12" t="s">
        <v>4664</v>
      </c>
      <c r="B317" s="12" t="s">
        <v>4666</v>
      </c>
      <c r="C317" s="12" t="s">
        <v>4016</v>
      </c>
      <c r="D317" s="11" t="s">
        <v>37</v>
      </c>
      <c r="E317" s="12" t="s">
        <v>4665</v>
      </c>
      <c r="F317" s="12"/>
    </row>
    <row r="318" spans="1:6" ht="39.6" x14ac:dyDescent="0.3">
      <c r="A318" s="12" t="s">
        <v>4667</v>
      </c>
      <c r="B318" s="12" t="s">
        <v>4666</v>
      </c>
      <c r="C318" s="12" t="s">
        <v>4069</v>
      </c>
      <c r="D318" s="11" t="s">
        <v>37</v>
      </c>
      <c r="E318" s="12" t="s">
        <v>4665</v>
      </c>
      <c r="F318" s="12"/>
    </row>
    <row r="319" spans="1:6" x14ac:dyDescent="0.3">
      <c r="A319" s="12" t="s">
        <v>4668</v>
      </c>
      <c r="B319" s="12" t="s">
        <v>4666</v>
      </c>
      <c r="C319" s="12" t="s">
        <v>4669</v>
      </c>
      <c r="D319" s="11" t="s">
        <v>37</v>
      </c>
      <c r="E319" s="12" t="s">
        <v>4670</v>
      </c>
      <c r="F319" s="12"/>
    </row>
    <row r="320" spans="1:6" x14ac:dyDescent="0.3">
      <c r="A320" s="12" t="s">
        <v>4671</v>
      </c>
      <c r="B320" s="12" t="s">
        <v>4666</v>
      </c>
      <c r="C320" s="12" t="s">
        <v>4672</v>
      </c>
      <c r="D320" s="11" t="s">
        <v>37</v>
      </c>
      <c r="E320" s="12" t="s">
        <v>4673</v>
      </c>
      <c r="F320" s="12"/>
    </row>
    <row r="321" spans="1:6" x14ac:dyDescent="0.3">
      <c r="A321" s="12" t="s">
        <v>4674</v>
      </c>
      <c r="B321" s="12" t="s">
        <v>4666</v>
      </c>
      <c r="C321" s="12" t="s">
        <v>4675</v>
      </c>
      <c r="D321" s="11" t="s">
        <v>37</v>
      </c>
      <c r="E321" s="12" t="s">
        <v>4676</v>
      </c>
      <c r="F321" s="12"/>
    </row>
    <row r="322" spans="1:6" x14ac:dyDescent="0.3">
      <c r="A322" s="12" t="s">
        <v>4677</v>
      </c>
      <c r="B322" s="12" t="s">
        <v>4666</v>
      </c>
      <c r="C322" s="12" t="s">
        <v>4678</v>
      </c>
      <c r="D322" s="11" t="s">
        <v>37</v>
      </c>
      <c r="E322" s="12" t="s">
        <v>4679</v>
      </c>
      <c r="F322" s="12"/>
    </row>
    <row r="323" spans="1:6" ht="39.6" x14ac:dyDescent="0.3">
      <c r="A323" s="12" t="s">
        <v>4680</v>
      </c>
      <c r="B323" s="12" t="s">
        <v>4681</v>
      </c>
      <c r="C323" s="12" t="s">
        <v>4009</v>
      </c>
      <c r="D323" s="11" t="s">
        <v>37</v>
      </c>
      <c r="E323" s="12" t="s">
        <v>4682</v>
      </c>
      <c r="F323" s="12"/>
    </row>
    <row r="324" spans="1:6" x14ac:dyDescent="0.3">
      <c r="A324" s="12" t="s">
        <v>4683</v>
      </c>
      <c r="B324" s="12" t="s">
        <v>4684</v>
      </c>
      <c r="C324" s="12" t="s">
        <v>4009</v>
      </c>
      <c r="D324" s="11" t="s">
        <v>4010</v>
      </c>
      <c r="E324" s="12"/>
      <c r="F324" s="12" t="s">
        <v>4685</v>
      </c>
    </row>
    <row r="325" spans="1:6" x14ac:dyDescent="0.3">
      <c r="A325" s="12" t="s">
        <v>4686</v>
      </c>
      <c r="B325" s="12" t="s">
        <v>4684</v>
      </c>
      <c r="C325" s="12" t="s">
        <v>4009</v>
      </c>
      <c r="D325" s="11" t="s">
        <v>37</v>
      </c>
      <c r="E325" s="12" t="s">
        <v>3433</v>
      </c>
      <c r="F325" s="12"/>
    </row>
    <row r="326" spans="1:6" x14ac:dyDescent="0.3">
      <c r="A326" s="12" t="s">
        <v>4687</v>
      </c>
      <c r="B326" s="12" t="s">
        <v>4688</v>
      </c>
      <c r="C326" s="12" t="s">
        <v>4009</v>
      </c>
      <c r="D326" s="11" t="s">
        <v>4010</v>
      </c>
      <c r="E326" s="12"/>
      <c r="F326" s="12" t="s">
        <v>4685</v>
      </c>
    </row>
    <row r="327" spans="1:6" x14ac:dyDescent="0.3">
      <c r="A327" s="12" t="s">
        <v>4689</v>
      </c>
      <c r="B327" s="12" t="s">
        <v>4690</v>
      </c>
      <c r="C327" s="12" t="s">
        <v>4009</v>
      </c>
      <c r="D327" s="11" t="s">
        <v>37</v>
      </c>
      <c r="E327" s="12" t="s">
        <v>3427</v>
      </c>
      <c r="F327" s="12"/>
    </row>
    <row r="328" spans="1:6" ht="26.4" x14ac:dyDescent="0.3">
      <c r="A328" s="12" t="s">
        <v>4691</v>
      </c>
      <c r="B328" s="12" t="s">
        <v>4692</v>
      </c>
      <c r="C328" s="12" t="s">
        <v>4009</v>
      </c>
      <c r="D328" s="11" t="s">
        <v>4010</v>
      </c>
      <c r="E328" s="12"/>
      <c r="F328" s="12" t="s">
        <v>4693</v>
      </c>
    </row>
    <row r="329" spans="1:6" x14ac:dyDescent="0.3">
      <c r="A329" s="12" t="s">
        <v>4694</v>
      </c>
      <c r="B329" s="12" t="s">
        <v>4695</v>
      </c>
      <c r="C329" s="12" t="s">
        <v>4009</v>
      </c>
      <c r="D329" s="11" t="s">
        <v>37</v>
      </c>
      <c r="E329" s="12" t="s">
        <v>3644</v>
      </c>
      <c r="F329" s="12"/>
    </row>
    <row r="330" spans="1:6" x14ac:dyDescent="0.3">
      <c r="A330" s="12" t="s">
        <v>4696</v>
      </c>
      <c r="B330" s="12" t="s">
        <v>4697</v>
      </c>
      <c r="C330" s="12" t="s">
        <v>4009</v>
      </c>
      <c r="D330" s="11" t="s">
        <v>37</v>
      </c>
      <c r="E330" s="12" t="s">
        <v>4698</v>
      </c>
      <c r="F330" s="12"/>
    </row>
    <row r="331" spans="1:6" x14ac:dyDescent="0.3">
      <c r="A331" s="12" t="s">
        <v>4699</v>
      </c>
      <c r="B331" s="12" t="s">
        <v>4700</v>
      </c>
      <c r="C331" s="12" t="s">
        <v>4009</v>
      </c>
      <c r="D331" s="11" t="s">
        <v>37</v>
      </c>
      <c r="E331" s="12" t="s">
        <v>4701</v>
      </c>
      <c r="F331" s="12"/>
    </row>
    <row r="332" spans="1:6" x14ac:dyDescent="0.3">
      <c r="A332" s="12" t="s">
        <v>4702</v>
      </c>
      <c r="B332" s="12" t="s">
        <v>4703</v>
      </c>
      <c r="C332" s="12" t="s">
        <v>4009</v>
      </c>
      <c r="D332" s="11" t="s">
        <v>37</v>
      </c>
      <c r="E332" s="12" t="s">
        <v>3593</v>
      </c>
      <c r="F332" s="12"/>
    </row>
    <row r="333" spans="1:6" x14ac:dyDescent="0.3">
      <c r="A333" s="12" t="s">
        <v>4704</v>
      </c>
      <c r="B333" s="12" t="s">
        <v>4705</v>
      </c>
      <c r="C333" s="12" t="s">
        <v>4009</v>
      </c>
      <c r="D333" s="11" t="s">
        <v>37</v>
      </c>
      <c r="E333" s="12" t="s">
        <v>3588</v>
      </c>
      <c r="F333" s="12"/>
    </row>
    <row r="334" spans="1:6" x14ac:dyDescent="0.3">
      <c r="A334" s="12" t="s">
        <v>4706</v>
      </c>
      <c r="B334" s="12" t="s">
        <v>4707</v>
      </c>
      <c r="C334" s="12" t="s">
        <v>4009</v>
      </c>
      <c r="D334" s="11" t="s">
        <v>37</v>
      </c>
      <c r="E334" s="12" t="s">
        <v>3582</v>
      </c>
      <c r="F334" s="12"/>
    </row>
    <row r="335" spans="1:6" x14ac:dyDescent="0.3">
      <c r="A335" s="12" t="s">
        <v>4708</v>
      </c>
      <c r="B335" s="12" t="s">
        <v>4709</v>
      </c>
      <c r="C335" s="12" t="s">
        <v>4009</v>
      </c>
      <c r="D335" s="11" t="s">
        <v>37</v>
      </c>
      <c r="E335" s="12" t="s">
        <v>3567</v>
      </c>
      <c r="F335" s="12"/>
    </row>
    <row r="336" spans="1:6" x14ac:dyDescent="0.3">
      <c r="A336" s="12" t="s">
        <v>4710</v>
      </c>
      <c r="B336" s="12" t="s">
        <v>4711</v>
      </c>
      <c r="C336" s="12" t="s">
        <v>4009</v>
      </c>
      <c r="D336" s="11" t="s">
        <v>37</v>
      </c>
      <c r="E336" s="12" t="s">
        <v>3572</v>
      </c>
      <c r="F336" s="12"/>
    </row>
    <row r="337" spans="1:6" x14ac:dyDescent="0.3">
      <c r="A337" s="12" t="s">
        <v>4712</v>
      </c>
      <c r="B337" s="12" t="s">
        <v>4713</v>
      </c>
      <c r="C337" s="12" t="s">
        <v>4009</v>
      </c>
      <c r="D337" s="11" t="s">
        <v>37</v>
      </c>
      <c r="E337" s="12" t="s">
        <v>3577</v>
      </c>
      <c r="F337" s="12"/>
    </row>
    <row r="338" spans="1:6" ht="26.4" x14ac:dyDescent="0.3">
      <c r="A338" s="12" t="s">
        <v>4714</v>
      </c>
      <c r="B338" s="12" t="s">
        <v>4715</v>
      </c>
      <c r="C338" s="12" t="s">
        <v>4009</v>
      </c>
      <c r="D338" s="11" t="s">
        <v>37</v>
      </c>
      <c r="E338" s="12" t="s">
        <v>4716</v>
      </c>
      <c r="F338" s="12"/>
    </row>
  </sheetData>
  <autoFilter ref="A4:F338" xr:uid="{00000000-0009-0000-0000-000003000000}"/>
  <conditionalFormatting sqref="D5:D338">
    <cfRule type="expression" dxfId="0" priority="1">
      <formula>$D5="No"</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Checklist</vt:lpstr>
      <vt:lpstr>Summary</vt:lpstr>
      <vt:lpstr>API Routes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Sadasiba Baliyarsingh</cp:lastModifiedBy>
  <dcterms:created xsi:type="dcterms:W3CDTF">2026-10-19T08:04:48Z</dcterms:created>
  <dcterms:modified xsi:type="dcterms:W3CDTF">2026-10-19T08:04:55Z</dcterms:modified>
</cp:coreProperties>
</file>